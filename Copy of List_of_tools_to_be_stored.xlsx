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3ecbce3b91c548/Cabinet configurator/"/>
    </mc:Choice>
  </mc:AlternateContent>
  <xr:revisionPtr revIDLastSave="3" documentId="8_{29D0675A-925A-BC4D-AE91-0FF1B9FCEFA0}" xr6:coauthVersionLast="47" xr6:coauthVersionMax="47" xr10:uidLastSave="{C1ED3490-0AB5-DC43-AE12-463B7A6435F3}"/>
  <bookViews>
    <workbookView xWindow="4320" yWindow="600" windowWidth="24480" windowHeight="16340" xr2:uid="{4C706BC6-808D-4F01-848A-ADA29AAC14E9}"/>
  </bookViews>
  <sheets>
    <sheet name="Indexable Inserts" sheetId="1" r:id="rId1"/>
    <sheet name="Stock_history" sheetId="5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 a="1"/>
  <c r="G118" i="1" a="1"/>
  <c r="E118" i="1" a="1"/>
  <c r="E118" i="1"/>
  <c r="G107" i="1" a="1"/>
  <c r="E107" i="1" a="1"/>
  <c r="G98" i="1" a="1"/>
  <c r="G98" i="1"/>
  <c r="E98" i="1" a="1"/>
  <c r="G95" i="1" a="1"/>
  <c r="E95" i="1" a="1"/>
  <c r="G94" i="1" a="1"/>
  <c r="E94" i="1" a="1"/>
  <c r="G87" i="1" a="1"/>
  <c r="G87" i="1"/>
  <c r="E87" i="1" a="1"/>
  <c r="E87" i="1"/>
  <c r="G86" i="1" a="1"/>
  <c r="E86" i="1" a="1"/>
  <c r="G84" i="1" a="1"/>
  <c r="G84" i="1"/>
  <c r="E84" i="1" a="1"/>
  <c r="G80" i="1" a="1"/>
  <c r="E80" i="1" a="1"/>
  <c r="E76" i="1" a="1"/>
  <c r="E3" i="1" a="1"/>
  <c r="E4" i="1" a="1"/>
  <c r="E5" i="1" a="1"/>
  <c r="E6" i="1" a="1"/>
  <c r="E7" i="1" a="1"/>
  <c r="E7" i="1"/>
  <c r="E8" i="1" a="1"/>
  <c r="E9" i="1" a="1"/>
  <c r="E10" i="1" a="1"/>
  <c r="E11" i="1" a="1"/>
  <c r="E12" i="1" a="1"/>
  <c r="E12" i="1"/>
  <c r="E13" i="1" a="1"/>
  <c r="E13" i="1"/>
  <c r="E14" i="1" a="1"/>
  <c r="E15" i="1" a="1"/>
  <c r="E16" i="1" a="1"/>
  <c r="E17" i="1" a="1"/>
  <c r="E18" i="1" a="1"/>
  <c r="E19" i="1" a="1"/>
  <c r="E20" i="1" a="1"/>
  <c r="E20" i="1"/>
  <c r="E21" i="1" a="1"/>
  <c r="E22" i="1" a="1"/>
  <c r="E23" i="1" a="1"/>
  <c r="E23" i="1"/>
  <c r="E24" i="1" a="1"/>
  <c r="E25" i="1" a="1"/>
  <c r="E26" i="1" a="1"/>
  <c r="E27" i="1" a="1"/>
  <c r="E28" i="1" a="1"/>
  <c r="E29" i="1" a="1"/>
  <c r="E30" i="1" a="1"/>
  <c r="E31" i="1" a="1"/>
  <c r="E32" i="1" a="1"/>
  <c r="E33" i="1" a="1"/>
  <c r="E34" i="1" a="1"/>
  <c r="E35" i="1" a="1"/>
  <c r="E36" i="1" a="1"/>
  <c r="E37" i="1" a="1"/>
  <c r="E38" i="1" a="1"/>
  <c r="E39" i="1" a="1"/>
  <c r="E39" i="1"/>
  <c r="E40" i="1" a="1"/>
  <c r="E41" i="1" a="1"/>
  <c r="E42" i="1" a="1"/>
  <c r="E42" i="1"/>
  <c r="E43" i="1" a="1"/>
  <c r="E44" i="1" a="1"/>
  <c r="E45" i="1" a="1"/>
  <c r="E46" i="1" a="1"/>
  <c r="E47" i="1" a="1"/>
  <c r="E48" i="1" a="1"/>
  <c r="E49" i="1" a="1"/>
  <c r="E50" i="1" a="1"/>
  <c r="E51" i="1" a="1"/>
  <c r="E52" i="1" a="1"/>
  <c r="E53" i="1" a="1"/>
  <c r="E54" i="1" a="1"/>
  <c r="E55" i="1" a="1"/>
  <c r="E56" i="1" a="1"/>
  <c r="E57" i="1" a="1"/>
  <c r="E58" i="1" a="1"/>
  <c r="E59" i="1" a="1"/>
  <c r="E60" i="1" a="1"/>
  <c r="E61" i="1" a="1"/>
  <c r="E62" i="1" a="1"/>
  <c r="E63" i="1" a="1"/>
  <c r="E64" i="1" a="1"/>
  <c r="E65" i="1" a="1"/>
  <c r="E66" i="1" a="1"/>
  <c r="E67" i="1" a="1"/>
  <c r="E68" i="1" a="1"/>
  <c r="E69" i="1" a="1"/>
  <c r="E70" i="1" a="1"/>
  <c r="E71" i="1" a="1"/>
  <c r="E72" i="1" a="1"/>
  <c r="E73" i="1" a="1"/>
  <c r="E74" i="1" a="1"/>
  <c r="E75" i="1" a="1"/>
  <c r="E77" i="1" a="1"/>
  <c r="E78" i="1" a="1"/>
  <c r="E79" i="1" a="1"/>
  <c r="E81" i="1" a="1"/>
  <c r="E82" i="1" a="1"/>
  <c r="E83" i="1" a="1"/>
  <c r="E85" i="1" a="1"/>
  <c r="E85" i="1"/>
  <c r="E88" i="1" a="1"/>
  <c r="E89" i="1" a="1"/>
  <c r="E90" i="1" a="1"/>
  <c r="E91" i="1" a="1"/>
  <c r="E92" i="1" a="1"/>
  <c r="E93" i="1" a="1"/>
  <c r="E96" i="1" a="1"/>
  <c r="E97" i="1" a="1"/>
  <c r="E99" i="1" a="1"/>
  <c r="E100" i="1" a="1"/>
  <c r="E101" i="1" a="1"/>
  <c r="E102" i="1" a="1"/>
  <c r="E103" i="1" a="1"/>
  <c r="E104" i="1" a="1"/>
  <c r="E105" i="1" a="1"/>
  <c r="E106" i="1" a="1"/>
  <c r="E108" i="1" a="1"/>
  <c r="E109" i="1" a="1"/>
  <c r="E110" i="1" a="1"/>
  <c r="E111" i="1" a="1"/>
  <c r="E112" i="1" a="1"/>
  <c r="E113" i="1" a="1"/>
  <c r="E114" i="1" a="1"/>
  <c r="E115" i="1" a="1"/>
  <c r="E116" i="1" a="1"/>
  <c r="E117" i="1" a="1"/>
  <c r="E119" i="1" a="1"/>
  <c r="E120" i="1" a="1"/>
  <c r="E121" i="1" a="1"/>
  <c r="E122" i="1" a="1"/>
  <c r="G76" i="1" a="1"/>
  <c r="G76" i="1"/>
  <c r="F19" i="1" a="1"/>
  <c r="F20" i="1" a="1"/>
  <c r="F20" i="1"/>
  <c r="F21" i="1" a="1"/>
  <c r="F22" i="1" a="1"/>
  <c r="F23" i="1" a="1"/>
  <c r="F24" i="1" a="1"/>
  <c r="F25" i="1" a="1"/>
  <c r="F25" i="1"/>
  <c r="F26" i="1" a="1"/>
  <c r="F27" i="1" a="1"/>
  <c r="F28" i="1" a="1"/>
  <c r="F29" i="1" a="1"/>
  <c r="F29" i="1"/>
  <c r="F30" i="1" a="1"/>
  <c r="F30" i="1"/>
  <c r="F31" i="1" a="1"/>
  <c r="F32" i="1" a="1"/>
  <c r="F33" i="1" a="1"/>
  <c r="F34" i="1" a="1"/>
  <c r="F35" i="1" a="1"/>
  <c r="F36" i="1" a="1"/>
  <c r="F37" i="1" a="1"/>
  <c r="F38" i="1" a="1"/>
  <c r="F39" i="1" a="1"/>
  <c r="F40" i="1" a="1"/>
  <c r="F41" i="1" a="1"/>
  <c r="F42" i="1" a="1"/>
  <c r="F43" i="1" a="1"/>
  <c r="F44" i="1" a="1"/>
  <c r="F45" i="1" a="1"/>
  <c r="F46" i="1" a="1"/>
  <c r="F47" i="1" a="1"/>
  <c r="F47" i="1"/>
  <c r="F48" i="1" a="1"/>
  <c r="F49" i="1" a="1"/>
  <c r="F50" i="1" a="1"/>
  <c r="F51" i="1" a="1"/>
  <c r="F52" i="1" a="1"/>
  <c r="F53" i="1" a="1"/>
  <c r="F54" i="1" a="1"/>
  <c r="F55" i="1" a="1"/>
  <c r="F56" i="1" a="1"/>
  <c r="F57" i="1" a="1"/>
  <c r="F58" i="1" a="1"/>
  <c r="F58" i="1"/>
  <c r="F59" i="1" a="1"/>
  <c r="F60" i="1" a="1"/>
  <c r="F61" i="1" a="1"/>
  <c r="F62" i="1" a="1"/>
  <c r="F63" i="1" a="1"/>
  <c r="F64" i="1" a="1"/>
  <c r="F65" i="1" a="1"/>
  <c r="F66" i="1" a="1"/>
  <c r="F67" i="1" a="1"/>
  <c r="F68" i="1" a="1"/>
  <c r="F69" i="1" a="1"/>
  <c r="F70" i="1" a="1"/>
  <c r="F71" i="1" a="1"/>
  <c r="F72" i="1" a="1"/>
  <c r="F73" i="1" a="1"/>
  <c r="F74" i="1" a="1"/>
  <c r="F75" i="1" a="1"/>
  <c r="F76" i="1" a="1"/>
  <c r="F77" i="1" a="1"/>
  <c r="F78" i="1" a="1"/>
  <c r="F79" i="1" a="1"/>
  <c r="F80" i="1" a="1"/>
  <c r="F81" i="1" a="1"/>
  <c r="F81" i="1"/>
  <c r="F82" i="1" a="1"/>
  <c r="F83" i="1" a="1"/>
  <c r="F84" i="1" a="1"/>
  <c r="F85" i="1" a="1"/>
  <c r="F85" i="1"/>
  <c r="F86" i="1" a="1"/>
  <c r="F87" i="1" a="1"/>
  <c r="F88" i="1" a="1"/>
  <c r="F89" i="1" a="1"/>
  <c r="F90" i="1" a="1"/>
  <c r="F91" i="1" a="1"/>
  <c r="F92" i="1" a="1"/>
  <c r="F93" i="1" a="1"/>
  <c r="F94" i="1" a="1"/>
  <c r="F95" i="1" a="1"/>
  <c r="F96" i="1" a="1"/>
  <c r="F97" i="1" a="1"/>
  <c r="F98" i="1" a="1"/>
  <c r="F99" i="1" a="1"/>
  <c r="F100" i="1" a="1"/>
  <c r="F101" i="1" a="1"/>
  <c r="F102" i="1" a="1"/>
  <c r="F103" i="1" a="1"/>
  <c r="F104" i="1" a="1"/>
  <c r="F105" i="1" a="1"/>
  <c r="F106" i="1" a="1"/>
  <c r="F107" i="1" a="1"/>
  <c r="F108" i="1" a="1"/>
  <c r="F109" i="1" a="1"/>
  <c r="F110" i="1" a="1"/>
  <c r="F111" i="1" a="1"/>
  <c r="F112" i="1" a="1"/>
  <c r="F113" i="1" a="1"/>
  <c r="F114" i="1" a="1"/>
  <c r="F115" i="1" a="1"/>
  <c r="F116" i="1" a="1"/>
  <c r="F117" i="1" a="1"/>
  <c r="F118" i="1" a="1"/>
  <c r="F119" i="1" a="1"/>
  <c r="F120" i="1" a="1"/>
  <c r="F121" i="1" a="1"/>
  <c r="F122" i="1" a="1"/>
  <c r="G16" i="1" a="1"/>
  <c r="G17" i="1" a="1"/>
  <c r="G18" i="1" a="1"/>
  <c r="G19" i="1" a="1"/>
  <c r="G20" i="1" a="1"/>
  <c r="G20" i="1"/>
  <c r="G21" i="1" a="1"/>
  <c r="G22" i="1" a="1"/>
  <c r="G23" i="1" a="1"/>
  <c r="G24" i="1" a="1"/>
  <c r="G25" i="1" a="1"/>
  <c r="G26" i="1" a="1"/>
  <c r="G27" i="1" a="1"/>
  <c r="G28" i="1" a="1"/>
  <c r="G29" i="1" a="1"/>
  <c r="G29" i="1"/>
  <c r="G30" i="1" a="1"/>
  <c r="G31" i="1" a="1"/>
  <c r="G32" i="1" a="1"/>
  <c r="G33" i="1" a="1"/>
  <c r="G34" i="1" a="1"/>
  <c r="G35" i="1" a="1"/>
  <c r="G35" i="1"/>
  <c r="G36" i="1" a="1"/>
  <c r="G37" i="1" a="1"/>
  <c r="G38" i="1" a="1"/>
  <c r="G39" i="1" a="1"/>
  <c r="G40" i="1" a="1"/>
  <c r="G41" i="1" a="1"/>
  <c r="G42" i="1" a="1"/>
  <c r="G43" i="1" a="1"/>
  <c r="G44" i="1" a="1"/>
  <c r="G45" i="1" a="1"/>
  <c r="G46" i="1" a="1"/>
  <c r="G47" i="1" a="1"/>
  <c r="G48" i="1" a="1"/>
  <c r="G49" i="1" a="1"/>
  <c r="G50" i="1" a="1"/>
  <c r="G51" i="1" a="1"/>
  <c r="G51" i="1"/>
  <c r="G52" i="1" a="1"/>
  <c r="G52" i="1"/>
  <c r="G53" i="1" a="1"/>
  <c r="G54" i="1" a="1"/>
  <c r="G55" i="1" a="1"/>
  <c r="G56" i="1" a="1"/>
  <c r="G57" i="1" a="1"/>
  <c r="G58" i="1" a="1"/>
  <c r="G59" i="1" a="1"/>
  <c r="G60" i="1" a="1"/>
  <c r="G61" i="1" a="1"/>
  <c r="G62" i="1" a="1"/>
  <c r="G63" i="1" a="1"/>
  <c r="G64" i="1" a="1"/>
  <c r="G65" i="1" a="1"/>
  <c r="G66" i="1" a="1"/>
  <c r="G67" i="1" a="1"/>
  <c r="G68" i="1" a="1"/>
  <c r="G69" i="1" a="1"/>
  <c r="G70" i="1" a="1"/>
  <c r="G71" i="1" a="1"/>
  <c r="G72" i="1" a="1"/>
  <c r="G73" i="1" a="1"/>
  <c r="G74" i="1" a="1"/>
  <c r="G75" i="1" a="1"/>
  <c r="G77" i="1" a="1"/>
  <c r="G78" i="1" a="1"/>
  <c r="G79" i="1" a="1"/>
  <c r="G81" i="1" a="1"/>
  <c r="G82" i="1" a="1"/>
  <c r="G83" i="1" a="1"/>
  <c r="G85" i="1" a="1"/>
  <c r="G85" i="1"/>
  <c r="G88" i="1" a="1"/>
  <c r="G88" i="1"/>
  <c r="G89" i="1" a="1"/>
  <c r="G90" i="1" a="1"/>
  <c r="G91" i="1" a="1"/>
  <c r="G92" i="1" a="1"/>
  <c r="G93" i="1" a="1"/>
  <c r="G96" i="1" a="1"/>
  <c r="G97" i="1" a="1"/>
  <c r="G99" i="1" a="1"/>
  <c r="G100" i="1" a="1"/>
  <c r="G101" i="1" a="1"/>
  <c r="G102" i="1" a="1"/>
  <c r="G103" i="1" a="1"/>
  <c r="G103" i="1"/>
  <c r="G104" i="1" a="1"/>
  <c r="G105" i="1" a="1"/>
  <c r="G106" i="1" a="1"/>
  <c r="G108" i="1" a="1"/>
  <c r="G109" i="1" a="1"/>
  <c r="G110" i="1" a="1"/>
  <c r="G111" i="1" a="1"/>
  <c r="G112" i="1" a="1"/>
  <c r="G113" i="1" a="1"/>
  <c r="G114" i="1" a="1"/>
  <c r="G115" i="1" a="1"/>
  <c r="G116" i="1" a="1"/>
  <c r="G117" i="1" a="1"/>
  <c r="G119" i="1" a="1"/>
  <c r="G120" i="1" a="1"/>
  <c r="G121" i="1" a="1"/>
  <c r="G122" i="1" a="1"/>
  <c r="F3" i="1" a="1"/>
  <c r="F3" i="1"/>
  <c r="F4" i="1" a="1"/>
  <c r="F4" i="1"/>
  <c r="F5" i="1" a="1"/>
  <c r="F5" i="1"/>
  <c r="F6" i="1" a="1"/>
  <c r="F6" i="1"/>
  <c r="F7" i="1" a="1"/>
  <c r="F8" i="1" a="1"/>
  <c r="F9" i="1" a="1"/>
  <c r="F10" i="1" a="1"/>
  <c r="F11" i="1" a="1"/>
  <c r="F12" i="1" a="1"/>
  <c r="F13" i="1" a="1"/>
  <c r="F14" i="1" a="1"/>
  <c r="F15" i="1" a="1"/>
  <c r="F16" i="1" a="1"/>
  <c r="F17" i="1" a="1"/>
  <c r="F18" i="1" a="1"/>
  <c r="G3" i="1" a="1"/>
  <c r="G3" i="1"/>
  <c r="G4" i="1" a="1"/>
  <c r="G4" i="1"/>
  <c r="G5" i="1" a="1"/>
  <c r="G6" i="1" a="1"/>
  <c r="G7" i="1" a="1"/>
  <c r="G8" i="1" a="1"/>
  <c r="G8" i="1"/>
  <c r="G9" i="1" a="1"/>
  <c r="G9" i="1"/>
  <c r="G10" i="1" a="1"/>
  <c r="G10" i="1"/>
  <c r="G11" i="1" a="1"/>
  <c r="G11" i="1"/>
  <c r="G12" i="1" a="1"/>
  <c r="G12" i="1"/>
  <c r="G13" i="1" a="1"/>
  <c r="G13" i="1"/>
  <c r="G14" i="1" a="1"/>
  <c r="G14" i="1"/>
  <c r="G15" i="1" a="1"/>
  <c r="F2" i="1" a="1"/>
  <c r="G2" i="1" a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E2" i="1" l="1"/>
  <c r="G118" i="1"/>
  <c r="G107" i="1"/>
  <c r="E107" i="1"/>
  <c r="E98" i="1"/>
  <c r="G95" i="1"/>
  <c r="E95" i="1"/>
  <c r="G94" i="1"/>
  <c r="E94" i="1"/>
  <c r="G86" i="1"/>
  <c r="E86" i="1"/>
  <c r="E84" i="1"/>
  <c r="G80" i="1"/>
  <c r="E80" i="1"/>
  <c r="E76" i="1"/>
  <c r="E46" i="1"/>
  <c r="E49" i="1"/>
  <c r="E103" i="1"/>
  <c r="E116" i="1"/>
  <c r="E4" i="1"/>
  <c r="E5" i="1"/>
  <c r="E8" i="1"/>
  <c r="E11" i="1"/>
  <c r="E16" i="1"/>
  <c r="E19" i="1"/>
  <c r="E30" i="1"/>
  <c r="E32" i="1"/>
  <c r="E38" i="1"/>
  <c r="E44" i="1"/>
  <c r="E55" i="1"/>
  <c r="E57" i="1"/>
  <c r="E59" i="1"/>
  <c r="E63" i="1"/>
  <c r="E78" i="1"/>
  <c r="E83" i="1"/>
  <c r="E89" i="1"/>
  <c r="E99" i="1"/>
  <c r="E109" i="1"/>
  <c r="E9" i="1"/>
  <c r="E17" i="1"/>
  <c r="E22" i="1"/>
  <c r="E28" i="1"/>
  <c r="E31" i="1"/>
  <c r="E34" i="1"/>
  <c r="E36" i="1"/>
  <c r="E43" i="1"/>
  <c r="E45" i="1"/>
  <c r="E53" i="1"/>
  <c r="E54" i="1"/>
  <c r="E61" i="1"/>
  <c r="E67" i="1"/>
  <c r="E106" i="1"/>
  <c r="E119" i="1"/>
  <c r="E47" i="1"/>
  <c r="E51" i="1"/>
  <c r="E88" i="1"/>
  <c r="E101" i="1"/>
  <c r="E108" i="1"/>
  <c r="E117" i="1"/>
  <c r="E52" i="1"/>
  <c r="E58" i="1"/>
  <c r="E96" i="1"/>
  <c r="E114" i="1"/>
  <c r="E120" i="1"/>
  <c r="E102" i="1"/>
  <c r="E110" i="1"/>
  <c r="E111" i="1"/>
  <c r="E112" i="1"/>
  <c r="E25" i="1"/>
  <c r="E40" i="1"/>
  <c r="E50" i="1"/>
  <c r="E56" i="1"/>
  <c r="E64" i="1"/>
  <c r="E66" i="1"/>
  <c r="E72" i="1"/>
  <c r="E82" i="1"/>
  <c r="E91" i="1"/>
  <c r="E113" i="1"/>
  <c r="E68" i="1"/>
  <c r="E70" i="1"/>
  <c r="E74" i="1"/>
  <c r="E79" i="1"/>
  <c r="E105" i="1"/>
  <c r="E71" i="1"/>
  <c r="E75" i="1"/>
  <c r="E121" i="1"/>
  <c r="E122" i="1"/>
  <c r="E26" i="1"/>
  <c r="E62" i="1"/>
  <c r="E81" i="1"/>
  <c r="E3" i="1"/>
  <c r="E15" i="1"/>
  <c r="E21" i="1"/>
  <c r="E24" i="1"/>
  <c r="E29" i="1"/>
  <c r="E33" i="1"/>
  <c r="E77" i="1"/>
  <c r="E92" i="1"/>
  <c r="E93" i="1"/>
  <c r="E104" i="1"/>
  <c r="E115" i="1"/>
  <c r="E6" i="1"/>
  <c r="E10" i="1"/>
  <c r="E14" i="1"/>
  <c r="E18" i="1"/>
  <c r="E27" i="1"/>
  <c r="E35" i="1"/>
  <c r="E37" i="1"/>
  <c r="E41" i="1"/>
  <c r="E48" i="1"/>
  <c r="E60" i="1"/>
  <c r="E65" i="1"/>
  <c r="E69" i="1"/>
  <c r="E73" i="1"/>
  <c r="E90" i="1"/>
  <c r="E97" i="1"/>
  <c r="E100" i="1"/>
  <c r="F21" i="1"/>
  <c r="F24" i="1"/>
  <c r="F27" i="1"/>
  <c r="F31" i="1"/>
  <c r="F34" i="1"/>
  <c r="F36" i="1"/>
  <c r="F42" i="1"/>
  <c r="F46" i="1"/>
  <c r="F56" i="1"/>
  <c r="F59" i="1"/>
  <c r="F62" i="1"/>
  <c r="F66" i="1"/>
  <c r="F69" i="1"/>
  <c r="F71" i="1"/>
  <c r="F74" i="1"/>
  <c r="F76" i="1"/>
  <c r="F90" i="1"/>
  <c r="F92" i="1"/>
  <c r="F99" i="1"/>
  <c r="F104" i="1"/>
  <c r="F110" i="1"/>
  <c r="F113" i="1"/>
  <c r="F116" i="1"/>
  <c r="F19" i="1"/>
  <c r="F26" i="1"/>
  <c r="F33" i="1"/>
  <c r="F38" i="1"/>
  <c r="F41" i="1"/>
  <c r="F44" i="1"/>
  <c r="F54" i="1"/>
  <c r="F60" i="1"/>
  <c r="F64" i="1"/>
  <c r="F67" i="1"/>
  <c r="F79" i="1"/>
  <c r="F86" i="1"/>
  <c r="F87" i="1"/>
  <c r="F88" i="1"/>
  <c r="F94" i="1"/>
  <c r="F107" i="1"/>
  <c r="F112" i="1"/>
  <c r="F121" i="1"/>
  <c r="F48" i="1"/>
  <c r="F49" i="1"/>
  <c r="F65" i="1"/>
  <c r="F70" i="1"/>
  <c r="F78" i="1"/>
  <c r="F80" i="1"/>
  <c r="F82" i="1"/>
  <c r="F93" i="1"/>
  <c r="F98" i="1"/>
  <c r="F101" i="1"/>
  <c r="F108" i="1"/>
  <c r="F109" i="1"/>
  <c r="F120" i="1"/>
  <c r="F40" i="1"/>
  <c r="F50" i="1"/>
  <c r="F52" i="1"/>
  <c r="F63" i="1"/>
  <c r="F73" i="1"/>
  <c r="F77" i="1"/>
  <c r="F83" i="1"/>
  <c r="F89" i="1"/>
  <c r="F96" i="1"/>
  <c r="F105" i="1"/>
  <c r="F111" i="1"/>
  <c r="F102" i="1"/>
  <c r="F106" i="1"/>
  <c r="F118" i="1"/>
  <c r="F119" i="1"/>
  <c r="F95" i="1"/>
  <c r="F97" i="1"/>
  <c r="F103" i="1"/>
  <c r="F114" i="1"/>
  <c r="F117" i="1"/>
  <c r="F122" i="1"/>
  <c r="F22" i="1"/>
  <c r="F23" i="1"/>
  <c r="F28" i="1"/>
  <c r="F32" i="1"/>
  <c r="F35" i="1"/>
  <c r="F37" i="1"/>
  <c r="F39" i="1"/>
  <c r="F43" i="1"/>
  <c r="F45" i="1"/>
  <c r="F51" i="1"/>
  <c r="F53" i="1"/>
  <c r="F55" i="1"/>
  <c r="F57" i="1"/>
  <c r="F61" i="1"/>
  <c r="F68" i="1"/>
  <c r="F72" i="1"/>
  <c r="F75" i="1"/>
  <c r="F84" i="1"/>
  <c r="F91" i="1"/>
  <c r="F100" i="1"/>
  <c r="F115" i="1"/>
  <c r="G16" i="1"/>
  <c r="G19" i="1"/>
  <c r="G21" i="1"/>
  <c r="G22" i="1"/>
  <c r="G27" i="1"/>
  <c r="G33" i="1"/>
  <c r="G38" i="1"/>
  <c r="G47" i="1"/>
  <c r="G49" i="1"/>
  <c r="G50" i="1"/>
  <c r="G65" i="1"/>
  <c r="G72" i="1"/>
  <c r="G17" i="1"/>
  <c r="G18" i="1"/>
  <c r="G26" i="1"/>
  <c r="G34" i="1"/>
  <c r="G37" i="1"/>
  <c r="G39" i="1"/>
  <c r="G46" i="1"/>
  <c r="G55" i="1"/>
  <c r="G58" i="1"/>
  <c r="G64" i="1"/>
  <c r="G66" i="1"/>
  <c r="G69" i="1"/>
  <c r="G75" i="1"/>
  <c r="G97" i="1"/>
  <c r="G102" i="1"/>
  <c r="G113" i="1"/>
  <c r="G121" i="1"/>
  <c r="G23" i="1"/>
  <c r="G24" i="1"/>
  <c r="G25" i="1"/>
  <c r="G30" i="1"/>
  <c r="G31" i="1"/>
  <c r="G53" i="1"/>
  <c r="G54" i="1"/>
  <c r="G61" i="1"/>
  <c r="G70" i="1"/>
  <c r="G71" i="1"/>
  <c r="G74" i="1"/>
  <c r="G99" i="1"/>
  <c r="G100" i="1"/>
  <c r="G112" i="1"/>
  <c r="G77" i="1"/>
  <c r="G78" i="1"/>
  <c r="G81" i="1"/>
  <c r="G83" i="1"/>
  <c r="G101" i="1"/>
  <c r="G104" i="1"/>
  <c r="G108" i="1"/>
  <c r="G109" i="1"/>
  <c r="G40" i="1"/>
  <c r="G57" i="1"/>
  <c r="G62" i="1"/>
  <c r="G89" i="1"/>
  <c r="G90" i="1"/>
  <c r="G110" i="1"/>
  <c r="G120" i="1"/>
  <c r="G111" i="1"/>
  <c r="G117" i="1"/>
  <c r="G43" i="1"/>
  <c r="G48" i="1"/>
  <c r="G59" i="1"/>
  <c r="G68" i="1"/>
  <c r="G82" i="1"/>
  <c r="G91" i="1"/>
  <c r="G105" i="1"/>
  <c r="G115" i="1"/>
  <c r="G119" i="1"/>
  <c r="G116" i="1"/>
  <c r="G41" i="1"/>
  <c r="G42" i="1"/>
  <c r="G73" i="1"/>
  <c r="G92" i="1"/>
  <c r="G45" i="1"/>
  <c r="G63" i="1"/>
  <c r="G79" i="1"/>
  <c r="G96" i="1"/>
  <c r="G114" i="1"/>
  <c r="G28" i="1"/>
  <c r="G32" i="1"/>
  <c r="G36" i="1"/>
  <c r="G44" i="1"/>
  <c r="G56" i="1"/>
  <c r="G60" i="1"/>
  <c r="G67" i="1"/>
  <c r="G93" i="1"/>
  <c r="G106" i="1"/>
  <c r="G122" i="1"/>
  <c r="F8" i="1"/>
  <c r="F12" i="1"/>
  <c r="F15" i="1"/>
  <c r="F9" i="1"/>
  <c r="F17" i="1"/>
  <c r="F18" i="1"/>
  <c r="F10" i="1"/>
  <c r="F13" i="1"/>
  <c r="F11" i="1"/>
  <c r="F14" i="1"/>
  <c r="F7" i="1"/>
  <c r="F16" i="1"/>
  <c r="G7" i="1"/>
  <c r="G5" i="1"/>
  <c r="G6" i="1"/>
  <c r="G15" i="1"/>
  <c r="F2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<sst xmlns="http://schemas.openxmlformats.org/spreadsheetml/2006/main" count="755" uniqueCount="545">
  <si>
    <t>MT00005</t>
  </si>
  <si>
    <t>90x37x10</t>
  </si>
  <si>
    <t>MT00185</t>
  </si>
  <si>
    <t>MT00348</t>
  </si>
  <si>
    <t>110x50x13</t>
  </si>
  <si>
    <t>MT00404</t>
  </si>
  <si>
    <t>MT00987</t>
  </si>
  <si>
    <t>MT00988</t>
  </si>
  <si>
    <t>MT01036</t>
  </si>
  <si>
    <t>MT01037</t>
  </si>
  <si>
    <t>MT01060</t>
  </si>
  <si>
    <t>MT01061</t>
  </si>
  <si>
    <t>MT01062</t>
  </si>
  <si>
    <t>MT01063</t>
  </si>
  <si>
    <t>MT01064</t>
  </si>
  <si>
    <t>MT01072</t>
  </si>
  <si>
    <t>MT01073</t>
  </si>
  <si>
    <t>MT01119</t>
  </si>
  <si>
    <t>MT01178</t>
  </si>
  <si>
    <t>MT01179</t>
  </si>
  <si>
    <t>MT01200</t>
  </si>
  <si>
    <t>MT01278</t>
  </si>
  <si>
    <t>MT01288</t>
  </si>
  <si>
    <t>MT01296</t>
  </si>
  <si>
    <t>MT01338</t>
  </si>
  <si>
    <t>MT01369</t>
  </si>
  <si>
    <t>MT01372</t>
  </si>
  <si>
    <t>MT01376</t>
  </si>
  <si>
    <t>MT01405</t>
  </si>
  <si>
    <t>MT00073</t>
  </si>
  <si>
    <t>95x40x10</t>
  </si>
  <si>
    <t>MT00100</t>
  </si>
  <si>
    <t>98x40x12</t>
  </si>
  <si>
    <t>MT00133</t>
  </si>
  <si>
    <t>MT00154</t>
  </si>
  <si>
    <t>MT00155</t>
  </si>
  <si>
    <t>MT00203</t>
  </si>
  <si>
    <t>MT00211</t>
  </si>
  <si>
    <t>MT00237</t>
  </si>
  <si>
    <t>130x55x13</t>
  </si>
  <si>
    <t>MT00243</t>
  </si>
  <si>
    <t>MT00244</t>
  </si>
  <si>
    <t>MT00396</t>
  </si>
  <si>
    <t>MT00439</t>
  </si>
  <si>
    <t>MT00473</t>
  </si>
  <si>
    <t>MT00545</t>
  </si>
  <si>
    <t>MT00703</t>
  </si>
  <si>
    <t>MT00727</t>
  </si>
  <si>
    <t>MT00790</t>
  </si>
  <si>
    <t>MT00894</t>
  </si>
  <si>
    <t>MT00976</t>
  </si>
  <si>
    <t>MT00978</t>
  </si>
  <si>
    <t>MT01032</t>
  </si>
  <si>
    <t>MT01211</t>
  </si>
  <si>
    <t>98x40x11</t>
  </si>
  <si>
    <t>MT00051</t>
  </si>
  <si>
    <t>MT00052</t>
  </si>
  <si>
    <t>MT00057</t>
  </si>
  <si>
    <t>MT00058</t>
  </si>
  <si>
    <t>MT00059</t>
  </si>
  <si>
    <t>98x40x15</t>
  </si>
  <si>
    <t>MT00061</t>
  </si>
  <si>
    <t>MT00062</t>
  </si>
  <si>
    <t>MT00098</t>
  </si>
  <si>
    <t>MT00175</t>
  </si>
  <si>
    <t>MT00219</t>
  </si>
  <si>
    <t>MT00231</t>
  </si>
  <si>
    <t>MT00262</t>
  </si>
  <si>
    <t>MT00363</t>
  </si>
  <si>
    <t>MT00364</t>
  </si>
  <si>
    <t>MT00366</t>
  </si>
  <si>
    <t>MT00621</t>
  </si>
  <si>
    <t>MT00781</t>
  </si>
  <si>
    <t>98x40x13</t>
  </si>
  <si>
    <t>MT00789</t>
  </si>
  <si>
    <t>MT01261</t>
  </si>
  <si>
    <t>MT01351</t>
  </si>
  <si>
    <t>MT01422</t>
  </si>
  <si>
    <t>MT00020</t>
  </si>
  <si>
    <t>91x46x13</t>
  </si>
  <si>
    <t>MT00047</t>
  </si>
  <si>
    <t>91x46x13 / 98x40x15</t>
  </si>
  <si>
    <t>MT00049</t>
  </si>
  <si>
    <t>91x38x11</t>
  </si>
  <si>
    <t>MT00055</t>
  </si>
  <si>
    <t>MT00066</t>
  </si>
  <si>
    <t>95x25x14</t>
  </si>
  <si>
    <t>MT00074</t>
  </si>
  <si>
    <t>MT00084</t>
  </si>
  <si>
    <t>MT00126</t>
  </si>
  <si>
    <t>MT00135</t>
  </si>
  <si>
    <t>MT00157</t>
  </si>
  <si>
    <t>MT00163</t>
  </si>
  <si>
    <t>MT00177</t>
  </si>
  <si>
    <t>MT00193</t>
  </si>
  <si>
    <t>MT00209</t>
  </si>
  <si>
    <t>138x58x14</t>
  </si>
  <si>
    <t>MT00214</t>
  </si>
  <si>
    <t>MT00215</t>
  </si>
  <si>
    <t>MT00225</t>
  </si>
  <si>
    <t>MT00226</t>
  </si>
  <si>
    <t>MT00227</t>
  </si>
  <si>
    <t>MT00301</t>
  </si>
  <si>
    <t>MT00302</t>
  </si>
  <si>
    <t>MT00359</t>
  </si>
  <si>
    <t>MT00367</t>
  </si>
  <si>
    <t>113x76x17</t>
  </si>
  <si>
    <t>MT00384</t>
  </si>
  <si>
    <t>56x53x23</t>
  </si>
  <si>
    <t>MT00387</t>
  </si>
  <si>
    <t>139x56x20</t>
  </si>
  <si>
    <t>MT00440</t>
  </si>
  <si>
    <t>MT00444</t>
  </si>
  <si>
    <t>65x38x13</t>
  </si>
  <si>
    <t>MT00448</t>
  </si>
  <si>
    <t>MT00456</t>
  </si>
  <si>
    <t>MT00457</t>
  </si>
  <si>
    <t>MT00490</t>
  </si>
  <si>
    <t>139x56x14</t>
  </si>
  <si>
    <t>MT00544</t>
  </si>
  <si>
    <t>MT00547</t>
  </si>
  <si>
    <t>148x60x18</t>
  </si>
  <si>
    <t>MT00716</t>
  </si>
  <si>
    <t>129x53x14</t>
  </si>
  <si>
    <t>MT00782</t>
  </si>
  <si>
    <t>MT00863</t>
  </si>
  <si>
    <t>35x25x15</t>
  </si>
  <si>
    <t>MT00930</t>
  </si>
  <si>
    <t>MT00944</t>
  </si>
  <si>
    <t>MT00990</t>
  </si>
  <si>
    <t>MT01000</t>
  </si>
  <si>
    <t>MT01031</t>
  </si>
  <si>
    <t>145x40x13</t>
  </si>
  <si>
    <t>MT01086</t>
  </si>
  <si>
    <t>MT01115</t>
  </si>
  <si>
    <t>MT01266</t>
  </si>
  <si>
    <t>MT01268</t>
  </si>
  <si>
    <t>MT01271</t>
  </si>
  <si>
    <t>MT01306</t>
  </si>
  <si>
    <t>130x53x14</t>
  </si>
  <si>
    <t>MT01315</t>
  </si>
  <si>
    <t>MT01333</t>
  </si>
  <si>
    <t>MT01365</t>
  </si>
  <si>
    <t>MT01366</t>
  </si>
  <si>
    <t>Insert box size  LxHxW</t>
  </si>
  <si>
    <t>MT00405</t>
  </si>
  <si>
    <t>MT00136</t>
  </si>
  <si>
    <t>MT00561</t>
  </si>
  <si>
    <t>MT01070</t>
  </si>
  <si>
    <t>MT01239</t>
  </si>
  <si>
    <t>MT01348</t>
  </si>
  <si>
    <t>MT01421</t>
  </si>
  <si>
    <t>MT01420</t>
  </si>
  <si>
    <t>MT00425</t>
  </si>
  <si>
    <t>MT00984</t>
  </si>
  <si>
    <t>MT00426</t>
  </si>
  <si>
    <t>MT00953</t>
  </si>
  <si>
    <t>MT00373</t>
  </si>
  <si>
    <t>MT00755</t>
  </si>
  <si>
    <t>MT00178</t>
  </si>
  <si>
    <t>MT00032</t>
  </si>
  <si>
    <t>MT00153</t>
  </si>
  <si>
    <t>MT00121</t>
  </si>
  <si>
    <t>MT00869</t>
  </si>
  <si>
    <t>MT00118</t>
  </si>
  <si>
    <t>MT00968</t>
  </si>
  <si>
    <t>MT01102</t>
  </si>
  <si>
    <t>MT00169</t>
  </si>
  <si>
    <t>MT00026</t>
  </si>
  <si>
    <t>MT00109</t>
  </si>
  <si>
    <t>MT00309</t>
  </si>
  <si>
    <t>MT00390</t>
  </si>
  <si>
    <t>MT00338</t>
  </si>
  <si>
    <t>MT00053</t>
  </si>
  <si>
    <t>MT00105</t>
  </si>
  <si>
    <t>MT00784</t>
  </si>
  <si>
    <t>MT00248</t>
  </si>
  <si>
    <t>MT00339</t>
  </si>
  <si>
    <t>MT00158</t>
  </si>
  <si>
    <t>MT00337</t>
  </si>
  <si>
    <t>MT00249</t>
  </si>
  <si>
    <t>MT00095</t>
  </si>
  <si>
    <t>MT00341</t>
  </si>
  <si>
    <t>MT00006</t>
  </si>
  <si>
    <t>MT00445</t>
  </si>
  <si>
    <t>MT00029</t>
  </si>
  <si>
    <t>MT00685</t>
  </si>
  <si>
    <t>MT00343</t>
  </si>
  <si>
    <t>MT00862</t>
  </si>
  <si>
    <t>MT00437</t>
  </si>
  <si>
    <t>MT00438</t>
  </si>
  <si>
    <t>MT01272</t>
  </si>
  <si>
    <t>MT00568</t>
  </si>
  <si>
    <t>MT00911</t>
  </si>
  <si>
    <t>MT00480</t>
  </si>
  <si>
    <t>MT00479</t>
  </si>
  <si>
    <t>MT00767</t>
  </si>
  <si>
    <t>MT00765</t>
  </si>
  <si>
    <t>MT00603</t>
  </si>
  <si>
    <t>MT00761</t>
  </si>
  <si>
    <t>MT00604</t>
  </si>
  <si>
    <t>MT00707</t>
  </si>
  <si>
    <t>MT00586</t>
  </si>
  <si>
    <t>MT00602</t>
  </si>
  <si>
    <t>MT00588</t>
  </si>
  <si>
    <t>MT00708</t>
  </si>
  <si>
    <t>MT00587</t>
  </si>
  <si>
    <t>MT00709</t>
  </si>
  <si>
    <t>MT00483</t>
  </si>
  <si>
    <t>MT00601</t>
  </si>
  <si>
    <t>MT00482</t>
  </si>
  <si>
    <t>MT00484</t>
  </si>
  <si>
    <t>MT01027</t>
  </si>
  <si>
    <t>Item Number</t>
  </si>
  <si>
    <t>MT00042</t>
  </si>
  <si>
    <t>MT00113</t>
  </si>
  <si>
    <t>MT00743</t>
  </si>
  <si>
    <t>MT00979</t>
  </si>
  <si>
    <t>MT01044</t>
  </si>
  <si>
    <t>MT01174</t>
  </si>
  <si>
    <t>MT01194</t>
  </si>
  <si>
    <t>MT01214</t>
  </si>
  <si>
    <t>MT01215</t>
  </si>
  <si>
    <t>MT01216</t>
  </si>
  <si>
    <t>MT01217</t>
  </si>
  <si>
    <t>MT01218</t>
  </si>
  <si>
    <t>MT01243</t>
  </si>
  <si>
    <t>MT01299</t>
  </si>
  <si>
    <t>MT01316</t>
  </si>
  <si>
    <t>MT01331</t>
  </si>
  <si>
    <t>MT01334</t>
  </si>
  <si>
    <t>MT01352</t>
  </si>
  <si>
    <t>MT01355</t>
  </si>
  <si>
    <t>MT01402</t>
  </si>
  <si>
    <t>MT01412</t>
  </si>
  <si>
    <t>MT01413</t>
  </si>
  <si>
    <t>MT01415</t>
  </si>
  <si>
    <t>MT01416</t>
  </si>
  <si>
    <t>MT01418</t>
  </si>
  <si>
    <t>MT01135</t>
  </si>
  <si>
    <t>MT01129</t>
  </si>
  <si>
    <t>MT01101</t>
  </si>
  <si>
    <t>MT01225</t>
  </si>
  <si>
    <t>MT01074</t>
  </si>
  <si>
    <t>MT01167</t>
  </si>
  <si>
    <t>MT01134</t>
  </si>
  <si>
    <t>MT01150</t>
  </si>
  <si>
    <t>MT01100</t>
  </si>
  <si>
    <t>MT01099</t>
  </si>
  <si>
    <t>MT01138</t>
  </si>
  <si>
    <t>MT00986</t>
  </si>
  <si>
    <t>MT01378</t>
  </si>
  <si>
    <t>MT01387</t>
  </si>
  <si>
    <t>MT00747</t>
  </si>
  <si>
    <t>MT00771</t>
  </si>
  <si>
    <t>MT00548</t>
  </si>
  <si>
    <t>MT00549</t>
  </si>
  <si>
    <t>MT01016</t>
  </si>
  <si>
    <t>MT01017</t>
  </si>
  <si>
    <t>MT00770</t>
  </si>
  <si>
    <t>MT00605</t>
  </si>
  <si>
    <t>MT00579</t>
  </si>
  <si>
    <t>MT00583</t>
  </si>
  <si>
    <t>MT00570</t>
  </si>
  <si>
    <t>MT00897</t>
  </si>
  <si>
    <t>MT00734</t>
  </si>
  <si>
    <t>MT00263</t>
  </si>
  <si>
    <t>MT01049</t>
  </si>
  <si>
    <t>MT00472</t>
  </si>
  <si>
    <t>MT00820</t>
  </si>
  <si>
    <t>MT01222</t>
  </si>
  <si>
    <t>MT01235</t>
  </si>
  <si>
    <t>MT01320</t>
  </si>
  <si>
    <t>MT01381</t>
  </si>
  <si>
    <t>MT01347</t>
  </si>
  <si>
    <t>MT01380</t>
  </si>
  <si>
    <t>MT01292</t>
  </si>
  <si>
    <t>MT01244</t>
  </si>
  <si>
    <t>MT00307</t>
  </si>
  <si>
    <t>MT00475</t>
  </si>
  <si>
    <t>MT00914</t>
  </si>
  <si>
    <t>MT01373</t>
  </si>
  <si>
    <t>MT00422</t>
  </si>
  <si>
    <t>MT01313</t>
  </si>
  <si>
    <t>MT01367</t>
  </si>
  <si>
    <t>MT01345</t>
  </si>
  <si>
    <t>MT01392</t>
  </si>
  <si>
    <t>MT01132</t>
  </si>
  <si>
    <t>MT01388</t>
  </si>
  <si>
    <t>MT01360</t>
  </si>
  <si>
    <t>MT01269</t>
  </si>
  <si>
    <t>MT01356</t>
  </si>
  <si>
    <t>MT00933</t>
  </si>
  <si>
    <t>MT00902</t>
  </si>
  <si>
    <t>MT01302</t>
  </si>
  <si>
    <t>MT01221</t>
  </si>
  <si>
    <t>MT00774</t>
  </si>
  <si>
    <t>MT01282</t>
  </si>
  <si>
    <t>MT00223</t>
  </si>
  <si>
    <t>MT00936</t>
  </si>
  <si>
    <t>MT01228</t>
  </si>
  <si>
    <t>MT01329</t>
  </si>
  <si>
    <t>MT00653</t>
  </si>
  <si>
    <t>MT01340</t>
  </si>
  <si>
    <t>MT01318</t>
  </si>
  <si>
    <t>MT01410</t>
  </si>
  <si>
    <t>MT00234</t>
  </si>
  <si>
    <t>MT00474</t>
  </si>
  <si>
    <t>MT01203</t>
  </si>
  <si>
    <t>MT00520</t>
  </si>
  <si>
    <t>MT00522</t>
  </si>
  <si>
    <t>MT00785</t>
  </si>
  <si>
    <t>MT00558</t>
  </si>
  <si>
    <t>MT00450</t>
  </si>
  <si>
    <t>MT01092</t>
  </si>
  <si>
    <t>MT01207</t>
  </si>
  <si>
    <t>MT00846</t>
  </si>
  <si>
    <t>MT01393</t>
  </si>
  <si>
    <t>MT00850</t>
  </si>
  <si>
    <t>MT01152</t>
  </si>
  <si>
    <t>MT01335</t>
  </si>
  <si>
    <t>MT01220</t>
  </si>
  <si>
    <t>MT00749</t>
  </si>
  <si>
    <t>MT01274</t>
  </si>
  <si>
    <t>MT00880</t>
  </si>
  <si>
    <t>MT01197</t>
  </si>
  <si>
    <t>MT00909</t>
  </si>
  <si>
    <t>MT01229</t>
  </si>
  <si>
    <t>MT00264</t>
  </si>
  <si>
    <t>MT01242</t>
  </si>
  <si>
    <t>MT00993</t>
  </si>
  <si>
    <t>MT01015</t>
  </si>
  <si>
    <t>MT01024</t>
  </si>
  <si>
    <t>MT01382</t>
  </si>
  <si>
    <t>MT00305</t>
  </si>
  <si>
    <t>MT00083</t>
  </si>
  <si>
    <t>MT01273</t>
  </si>
  <si>
    <t>MT01033</t>
  </si>
  <si>
    <t>MT00080</t>
  </si>
  <si>
    <t>MT00776</t>
  </si>
  <si>
    <t>MT01391</t>
  </si>
  <si>
    <t>MT00101</t>
  </si>
  <si>
    <t>MT01256</t>
  </si>
  <si>
    <t>MT01275</t>
  </si>
  <si>
    <t>MT00233</t>
  </si>
  <si>
    <t>MT00518</t>
  </si>
  <si>
    <t>MT01364</t>
  </si>
  <si>
    <t>MT01141</t>
  </si>
  <si>
    <t>MT00975</t>
  </si>
  <si>
    <t>MT00647</t>
  </si>
  <si>
    <t>MT00913</t>
  </si>
  <si>
    <t>MT01277</t>
  </si>
  <si>
    <t>MT00290</t>
  </si>
  <si>
    <t>MT00972</t>
  </si>
  <si>
    <t>MT00974</t>
  </si>
  <si>
    <t>MT00701</t>
  </si>
  <si>
    <t>MT01082</t>
  </si>
  <si>
    <t>MT00659</t>
  </si>
  <si>
    <t>MT00407</t>
  </si>
  <si>
    <t>MT01408</t>
  </si>
  <si>
    <t>MT01289</t>
  </si>
  <si>
    <t>MT00524</t>
  </si>
  <si>
    <t>MT00965</t>
  </si>
  <si>
    <t>MT00138</t>
  </si>
  <si>
    <t>MT01403</t>
  </si>
  <si>
    <t>MT00229</t>
  </si>
  <si>
    <t>MT00122</t>
  </si>
  <si>
    <t>MT01144</t>
  </si>
  <si>
    <t>MT00667</t>
  </si>
  <si>
    <t>MT01153</t>
  </si>
  <si>
    <t>MT00929</t>
  </si>
  <si>
    <t>MT00831</t>
  </si>
  <si>
    <t>MT01361</t>
  </si>
  <si>
    <t>MT00627</t>
  </si>
  <si>
    <t>MT01180</t>
  </si>
  <si>
    <t>MT00335</t>
  </si>
  <si>
    <t>MT01191</t>
  </si>
  <si>
    <t>MT00273</t>
  </si>
  <si>
    <t>MT00416</t>
  </si>
  <si>
    <t>MT00222</t>
  </si>
  <si>
    <t>MT00651</t>
  </si>
  <si>
    <t>MT01284</t>
  </si>
  <si>
    <t>MT01038</t>
  </si>
  <si>
    <t>MT00289</t>
  </si>
  <si>
    <t>MT00110</t>
  </si>
  <si>
    <t>MT01047</t>
  </si>
  <si>
    <t>MT00589</t>
  </si>
  <si>
    <t>MT01234</t>
  </si>
  <si>
    <t>MT00094</t>
  </si>
  <si>
    <t>MT01362</t>
  </si>
  <si>
    <t>MT01236</t>
  </si>
  <si>
    <t>MT00182</t>
  </si>
  <si>
    <t>MT00736</t>
  </si>
  <si>
    <t>MT00757</t>
  </si>
  <si>
    <t>MT00607</t>
  </si>
  <si>
    <t>MT01022</t>
  </si>
  <si>
    <t>MT01399</t>
  </si>
  <si>
    <t>MT00764</t>
  </si>
  <si>
    <t>MT00543</t>
  </si>
  <si>
    <t>MT01025</t>
  </si>
  <si>
    <t>MT01127</t>
  </si>
  <si>
    <t>MT00174</t>
  </si>
  <si>
    <t>MT01042</t>
  </si>
  <si>
    <t>MT01055</t>
  </si>
  <si>
    <t>MT01328</t>
  </si>
  <si>
    <t>MT00783</t>
  </si>
  <si>
    <t>MT00773</t>
  </si>
  <si>
    <t>MT00983</t>
  </si>
  <si>
    <t>MT01442</t>
  </si>
  <si>
    <t>MT00443</t>
  </si>
  <si>
    <t>MT01068</t>
  </si>
  <si>
    <t>MT00642</t>
  </si>
  <si>
    <t>MT01440</t>
  </si>
  <si>
    <t>MT00506</t>
  </si>
  <si>
    <t>MT00527</t>
  </si>
  <si>
    <t>MT01419</t>
  </si>
  <si>
    <t>MT01445</t>
  </si>
  <si>
    <t>MT00323</t>
  </si>
  <si>
    <t>MT00107</t>
  </si>
  <si>
    <t>MT01080</t>
  </si>
  <si>
    <t>MT01002</t>
  </si>
  <si>
    <t>MT00635</t>
  </si>
  <si>
    <t>MT01084</t>
  </si>
  <si>
    <t>MT00082</t>
  </si>
  <si>
    <t>MT01023</t>
  </si>
  <si>
    <t>MT00803</t>
  </si>
  <si>
    <t>MT00325</t>
  </si>
  <si>
    <t>MT00492</t>
  </si>
  <si>
    <t>MT00811</t>
  </si>
  <si>
    <t>MT01039</t>
  </si>
  <si>
    <t>MT00210</t>
  </si>
  <si>
    <t>MT00523</t>
  </si>
  <si>
    <t>MT00656</t>
  </si>
  <si>
    <t>MT01434</t>
  </si>
  <si>
    <t>MT00845</t>
  </si>
  <si>
    <t>MT00235</t>
  </si>
  <si>
    <t>MT01117</t>
  </si>
  <si>
    <t>MT01118</t>
  </si>
  <si>
    <t>MT00996</t>
  </si>
  <si>
    <t>MT01120</t>
  </si>
  <si>
    <t>MT01123</t>
  </si>
  <si>
    <t>MT01321</t>
  </si>
  <si>
    <t>MT01126</t>
  </si>
  <si>
    <t>MT01330</t>
  </si>
  <si>
    <t>MT00657</t>
  </si>
  <si>
    <t>MT00303</t>
  </si>
  <si>
    <t>MT00034</t>
  </si>
  <si>
    <t>MT01343</t>
  </si>
  <si>
    <t>MT00662</t>
  </si>
  <si>
    <t>MT00172</t>
  </si>
  <si>
    <t>MT01353</t>
  </si>
  <si>
    <t>MT01358</t>
  </si>
  <si>
    <t>MT00349</t>
  </si>
  <si>
    <t>MT00874</t>
  </si>
  <si>
    <t>MT01368</t>
  </si>
  <si>
    <t>MT00875</t>
  </si>
  <si>
    <t>MT01374</t>
  </si>
  <si>
    <t>MT01145</t>
  </si>
  <si>
    <t>MT00353</t>
  </si>
  <si>
    <t>MT00238</t>
  </si>
  <si>
    <t>MT00877</t>
  </si>
  <si>
    <t>MT00590</t>
  </si>
  <si>
    <t>MT00777</t>
  </si>
  <si>
    <t>MT01164</t>
  </si>
  <si>
    <t>MT01417</t>
  </si>
  <si>
    <t>MT01165</t>
  </si>
  <si>
    <t>MT00671</t>
  </si>
  <si>
    <t>MT01438</t>
  </si>
  <si>
    <t>MT01170</t>
  </si>
  <si>
    <t>MT00739</t>
  </si>
  <si>
    <t>MT01173</t>
  </si>
  <si>
    <t>MT01276</t>
  </si>
  <si>
    <t>MT00245</t>
  </si>
  <si>
    <t>MT01177</t>
  </si>
  <si>
    <t>MT00626</t>
  </si>
  <si>
    <t>MT00063</t>
  </si>
  <si>
    <t>MT01293</t>
  </si>
  <si>
    <t>MT00905</t>
  </si>
  <si>
    <t>MT01297</t>
  </si>
  <si>
    <t>MT01192</t>
  </si>
  <si>
    <t>MT00675</t>
  </si>
  <si>
    <t>MT00631</t>
  </si>
  <si>
    <t>MT00677</t>
  </si>
  <si>
    <t>MT01317</t>
  </si>
  <si>
    <t>MT00150</t>
  </si>
  <si>
    <t>MT01003</t>
  </si>
  <si>
    <t>MT01322</t>
  </si>
  <si>
    <t>MT01204</t>
  </si>
  <si>
    <t>MT01008</t>
  </si>
  <si>
    <t>MT00455</t>
  </si>
  <si>
    <t>MT01208</t>
  </si>
  <si>
    <t>MT00687</t>
  </si>
  <si>
    <t>MT01337</t>
  </si>
  <si>
    <t>MT00573</t>
  </si>
  <si>
    <t>MT00461</t>
  </si>
  <si>
    <t>MT01344</t>
  </si>
  <si>
    <t>MT00368</t>
  </si>
  <si>
    <t>MT01018</t>
  </si>
  <si>
    <t>MT00064</t>
  </si>
  <si>
    <t>MT01350</t>
  </si>
  <si>
    <t>MT00375</t>
  </si>
  <si>
    <t>MT00934</t>
  </si>
  <si>
    <t>MT00762</t>
  </si>
  <si>
    <t>MT00576</t>
  </si>
  <si>
    <t>MT01357</t>
  </si>
  <si>
    <t>MT00156</t>
  </si>
  <si>
    <t>MT00637</t>
  </si>
  <si>
    <t>MT00394</t>
  </si>
  <si>
    <t>MT00201</t>
  </si>
  <si>
    <t>MT01226</t>
  </si>
  <si>
    <t>MT00181</t>
  </si>
  <si>
    <t>MT00271</t>
  </si>
  <si>
    <t>MT01231</t>
  </si>
  <si>
    <t>MT01232</t>
  </si>
  <si>
    <t>MT00945</t>
  </si>
  <si>
    <t>MT00495</t>
  </si>
  <si>
    <t>MT01385</t>
  </si>
  <si>
    <t>MT00964</t>
  </si>
  <si>
    <t>MT00510</t>
  </si>
  <si>
    <t>MT00648</t>
  </si>
  <si>
    <t>MT01240</t>
  </si>
  <si>
    <t>MT01040</t>
  </si>
  <si>
    <t>MT00967</t>
  </si>
  <si>
    <t>MT01041</t>
  </si>
  <si>
    <t>MT00272</t>
  </si>
  <si>
    <t>MT00519</t>
  </si>
  <si>
    <t>MT00228</t>
  </si>
  <si>
    <t>MT00194</t>
  </si>
  <si>
    <t>MT00560</t>
  </si>
  <si>
    <t>MT00240</t>
  </si>
  <si>
    <t>MT00613</t>
  </si>
  <si>
    <t>MT00241</t>
  </si>
  <si>
    <t>MT00116</t>
  </si>
  <si>
    <t>MT01052</t>
  </si>
  <si>
    <t>MT00285</t>
  </si>
  <si>
    <t>MT01435</t>
  </si>
  <si>
    <t>MT01054</t>
  </si>
  <si>
    <t>MT00582</t>
  </si>
  <si>
    <t>MT00001</t>
  </si>
  <si>
    <t>MT00786</t>
  </si>
  <si>
    <t>Amout of picked boxes / year</t>
  </si>
  <si>
    <t>Max amount of boxes</t>
  </si>
  <si>
    <t>Max [pcs] to be stored</t>
  </si>
  <si>
    <t>Number of pickups / year</t>
  </si>
  <si>
    <t>Avarage of picked boxes/ pickup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</si>
</sst>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7DDF-7FC1-468F-953E-29C001DBEA68}">
  <sheetPr codeName="Sheet1"/>
  <dimension ref="A1:G135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12.5" style="2" bestFit="1" customWidth="1"/>
    <col min="2" max="2" width="30.33203125" style="1" customWidth="1"/>
    <col min="3" max="3" width="16" style="1" hidden="1" customWidth="1"/>
    <col min="4" max="4" width="30.5" style="1" customWidth="1"/>
    <col min="5" max="5" width="27.5" style="1" bestFit="1" customWidth="1"/>
    <col min="6" max="6" width="22.83203125" style="1" bestFit="1" customWidth="1"/>
    <col min="7" max="7" width="31.1640625" style="1" bestFit="1" customWidth="1"/>
  </cols>
  <sheetData>
    <row r="1" spans="1:7" x14ac:dyDescent="0.2">
      <c r="A1" s="1" t="s">
        <v>213</v>
      </c>
      <c r="B1" s="1" t="s">
        <v>144</v>
      </c>
      <c r="C1" s="1" t="s">
        <v>542</v>
      </c>
      <c r="D1" s="1" t="s">
        <v>541</v>
      </c>
      <c r="E1" s="1" t="s">
        <v>540</v>
      </c>
      <c r="F1" s="1" t="s">
        <v>543</v>
      </c>
      <c r="G1" s="1" t="s">
        <v>544</v>
      </c>
    </row>
    <row r="2" spans="1:7" x14ac:dyDescent="0.2">
      <c r="A2" s="2" t="s">
        <v>0</v>
      </c>
      <c r="B2" s="1" t="s">
        <v>1</v>
      </c>
      <c r="C2" s="1">
        <v>120</v>
      </c>
      <c r="D2" s="1">
        <f t="shared" ref="D2:D33" si="0">C2/10</f>
        <v>12</v>
      </c>
      <c r="E2" s="5" cm="1">
        <f t="array" ref="E2">(INDEX(Stock_history!$B$1:$B$506,_xlfn.XMATCH('Indexable Inserts'!A2,Stock_history!$A$1:$A$506)))*-1/10</f>
        <v>29</v>
      </c>
      <c r="F2" s="5" cm="1">
        <f t="array" ref="F2">(INDEX(Stock_history!$C$1:$C$506,_xlfn.XMATCH('Indexable Inserts'!A2,Stock_history!$A$1:$A$506)))</f>
        <v>17</v>
      </c>
      <c r="G2" s="5" cm="1">
        <f t="array" ref="G2">(INDEX(Stock_history!$D$1:$D$506,_xlfn.XMATCH('Indexable Inserts'!A2,Stock_history!$A$1:$A$506)))*-1/10</f>
        <v>1.7100000000000002</v>
      </c>
    </row>
    <row r="3" spans="1:7" x14ac:dyDescent="0.2">
      <c r="A3" s="2" t="s">
        <v>2</v>
      </c>
      <c r="B3" s="1" t="s">
        <v>1</v>
      </c>
      <c r="C3" s="1">
        <v>110</v>
      </c>
      <c r="D3" s="1">
        <f t="shared" si="0"/>
        <v>11</v>
      </c>
      <c r="E3" s="5" cm="1">
        <f t="array" ref="E3">(INDEX(Stock_history!$B$1:$B$506,_xlfn.XMATCH('Indexable Inserts'!A3,Stock_history!$A$1:$A$506)))*-1/10</f>
        <v>33.9</v>
      </c>
      <c r="F3" s="5" cm="1">
        <f t="array" ref="F3">(INDEX(Stock_history!$C$1:$C$506,_xlfn.XMATCH('Indexable Inserts'!A3,Stock_history!$A$1:$A$506)))</f>
        <v>34</v>
      </c>
      <c r="G3" s="5" cm="1">
        <f t="array" ref="G3">(INDEX(Stock_history!$D$1:$D$506,_xlfn.XMATCH('Indexable Inserts'!A3,Stock_history!$A$1:$A$506)))*-1/10</f>
        <v>1</v>
      </c>
    </row>
    <row r="4" spans="1:7" x14ac:dyDescent="0.2">
      <c r="A4" s="2" t="s">
        <v>3</v>
      </c>
      <c r="B4" s="1" t="s">
        <v>4</v>
      </c>
      <c r="C4" s="1">
        <v>120</v>
      </c>
      <c r="D4" s="1">
        <f t="shared" si="0"/>
        <v>12</v>
      </c>
      <c r="E4" s="5" cm="1">
        <f t="array" ref="E4">(INDEX(Stock_history!$B$1:$B$506,_xlfn.XMATCH('Indexable Inserts'!A4,Stock_history!$A$1:$A$506)))*-1/10</f>
        <v>163</v>
      </c>
      <c r="F4" s="5" cm="1">
        <f t="array" ref="F4">(INDEX(Stock_history!$C$1:$C$506,_xlfn.XMATCH('Indexable Inserts'!A4,Stock_history!$A$1:$A$506)))</f>
        <v>85</v>
      </c>
      <c r="G4" s="5" cm="1">
        <f t="array" ref="G4">(INDEX(Stock_history!$D$1:$D$506,_xlfn.XMATCH('Indexable Inserts'!A4,Stock_history!$A$1:$A$506)))*-1/10</f>
        <v>1.92</v>
      </c>
    </row>
    <row r="5" spans="1:7" x14ac:dyDescent="0.2">
      <c r="A5" s="2" t="s">
        <v>5</v>
      </c>
      <c r="B5" s="1" t="s">
        <v>4</v>
      </c>
      <c r="C5" s="1">
        <v>50</v>
      </c>
      <c r="D5" s="1">
        <f t="shared" si="0"/>
        <v>5</v>
      </c>
      <c r="E5" s="5" cm="1">
        <f t="array" ref="E5">(INDEX(Stock_history!$B$1:$B$506,_xlfn.XMATCH('Indexable Inserts'!A5,Stock_history!$A$1:$A$506)))*-1/10</f>
        <v>5</v>
      </c>
      <c r="F5" s="5" cm="1">
        <f t="array" ref="F5">(INDEX(Stock_history!$C$1:$C$506,_xlfn.XMATCH('Indexable Inserts'!A5,Stock_history!$A$1:$A$506)))</f>
        <v>4</v>
      </c>
      <c r="G5" s="5" cm="1">
        <f t="array" ref="G5">(INDEX(Stock_history!$D$1:$D$506,_xlfn.XMATCH('Indexable Inserts'!A5,Stock_history!$A$1:$A$506)))*-1/10</f>
        <v>1.25</v>
      </c>
    </row>
    <row r="6" spans="1:7" x14ac:dyDescent="0.2">
      <c r="A6" s="2" t="s">
        <v>6</v>
      </c>
      <c r="B6" s="1" t="s">
        <v>4</v>
      </c>
      <c r="C6" s="1">
        <v>30</v>
      </c>
      <c r="D6" s="1">
        <f t="shared" si="0"/>
        <v>3</v>
      </c>
      <c r="E6" s="5" cm="1">
        <f t="array" ref="E6">(INDEX(Stock_history!$B$1:$B$506,_xlfn.XMATCH('Indexable Inserts'!A6,Stock_history!$A$1:$A$506)))*-1/10</f>
        <v>0.5</v>
      </c>
      <c r="F6" s="5" cm="1">
        <f t="array" ref="F6">(INDEX(Stock_history!$C$1:$C$506,_xlfn.XMATCH('Indexable Inserts'!A6,Stock_history!$A$1:$A$506)))</f>
        <v>1</v>
      </c>
      <c r="G6" s="5" cm="1">
        <f t="array" ref="G6">(INDEX(Stock_history!$D$1:$D$506,_xlfn.XMATCH('Indexable Inserts'!A6,Stock_history!$A$1:$A$506)))*-1/10</f>
        <v>0.5</v>
      </c>
    </row>
    <row r="7" spans="1:7" x14ac:dyDescent="0.2">
      <c r="A7" s="2" t="s">
        <v>7</v>
      </c>
      <c r="B7" s="1" t="s">
        <v>4</v>
      </c>
      <c r="C7" s="1">
        <v>30</v>
      </c>
      <c r="D7" s="1">
        <f t="shared" si="0"/>
        <v>3</v>
      </c>
      <c r="E7" s="5" cm="1">
        <f t="array" ref="E7">(INDEX(Stock_history!$B$1:$B$506,_xlfn.XMATCH('Indexable Inserts'!A7,Stock_history!$A$1:$A$506)))*-1/10</f>
        <v>7.5</v>
      </c>
      <c r="F7" s="5" cm="1">
        <f t="array" ref="F7">(INDEX(Stock_history!$C$1:$C$506,_xlfn.XMATCH('Indexable Inserts'!A7,Stock_history!$A$1:$A$506)))</f>
        <v>7</v>
      </c>
      <c r="G7" s="5" cm="1">
        <f t="array" ref="G7">(INDEX(Stock_history!$D$1:$D$506,_xlfn.XMATCH('Indexable Inserts'!A7,Stock_history!$A$1:$A$506)))*-1/10</f>
        <v>1.0699999999999998</v>
      </c>
    </row>
    <row r="8" spans="1:7" x14ac:dyDescent="0.2">
      <c r="A8" s="2" t="s">
        <v>8</v>
      </c>
      <c r="B8" s="1" t="s">
        <v>1</v>
      </c>
      <c r="C8" s="1">
        <v>30</v>
      </c>
      <c r="D8" s="1">
        <f t="shared" si="0"/>
        <v>3</v>
      </c>
      <c r="E8" s="5" cm="1">
        <f t="array" ref="E8">(INDEX(Stock_history!$B$1:$B$506,_xlfn.XMATCH('Indexable Inserts'!A8,Stock_history!$A$1:$A$506)))*-1/10</f>
        <v>1</v>
      </c>
      <c r="F8" s="5" cm="1">
        <f t="array" ref="F8">(INDEX(Stock_history!$C$1:$C$506,_xlfn.XMATCH('Indexable Inserts'!A8,Stock_history!$A$1:$A$506)))</f>
        <v>1</v>
      </c>
      <c r="G8" s="5" cm="1">
        <f t="array" ref="G8">(INDEX(Stock_history!$D$1:$D$506,_xlfn.XMATCH('Indexable Inserts'!A8,Stock_history!$A$1:$A$506)))*-1/10</f>
        <v>1</v>
      </c>
    </row>
    <row r="9" spans="1:7" x14ac:dyDescent="0.2">
      <c r="A9" s="2" t="s">
        <v>9</v>
      </c>
      <c r="B9" s="1" t="s">
        <v>1</v>
      </c>
      <c r="C9" s="1">
        <v>40</v>
      </c>
      <c r="D9" s="1">
        <f t="shared" si="0"/>
        <v>4</v>
      </c>
      <c r="E9" s="5" cm="1">
        <f t="array" ref="E9">(INDEX(Stock_history!$B$1:$B$506,_xlfn.XMATCH('Indexable Inserts'!A9,Stock_history!$A$1:$A$506)))*-1/10</f>
        <v>11.4</v>
      </c>
      <c r="F9" s="5" cm="1">
        <f t="array" ref="F9">(INDEX(Stock_history!$C$1:$C$506,_xlfn.XMATCH('Indexable Inserts'!A9,Stock_history!$A$1:$A$506)))</f>
        <v>8</v>
      </c>
      <c r="G9" s="5" cm="1">
        <f t="array" ref="G9">(INDEX(Stock_history!$D$1:$D$506,_xlfn.XMATCH('Indexable Inserts'!A9,Stock_history!$A$1:$A$506)))*-1/10</f>
        <v>1.4300000000000002</v>
      </c>
    </row>
    <row r="10" spans="1:7" x14ac:dyDescent="0.2">
      <c r="A10" s="2" t="s">
        <v>10</v>
      </c>
      <c r="B10" s="1" t="s">
        <v>1</v>
      </c>
      <c r="C10" s="1">
        <v>40</v>
      </c>
      <c r="D10" s="1">
        <f t="shared" si="0"/>
        <v>4</v>
      </c>
      <c r="E10" s="5" cm="1">
        <f t="array" ref="E10">(INDEX(Stock_history!$B$1:$B$506,_xlfn.XMATCH('Indexable Inserts'!A10,Stock_history!$A$1:$A$506)))*-1/10</f>
        <v>5</v>
      </c>
      <c r="F10" s="5" cm="1">
        <f t="array" ref="F10">(INDEX(Stock_history!$C$1:$C$506,_xlfn.XMATCH('Indexable Inserts'!A10,Stock_history!$A$1:$A$506)))</f>
        <v>5</v>
      </c>
      <c r="G10" s="5" cm="1">
        <f t="array" ref="G10">(INDEX(Stock_history!$D$1:$D$506,_xlfn.XMATCH('Indexable Inserts'!A10,Stock_history!$A$1:$A$506)))*-1/10</f>
        <v>1</v>
      </c>
    </row>
    <row r="11" spans="1:7" x14ac:dyDescent="0.2">
      <c r="A11" s="2" t="s">
        <v>11</v>
      </c>
      <c r="B11" s="1" t="s">
        <v>1</v>
      </c>
      <c r="C11" s="1">
        <v>30</v>
      </c>
      <c r="D11" s="1">
        <f t="shared" si="0"/>
        <v>3</v>
      </c>
      <c r="E11" s="5" t="e" cm="1">
        <f t="array" ref="E11">(INDEX(Stock_history!$B$1:$B$506,_xlfn.XMATCH('Indexable Inserts'!A11,Stock_history!$A$1:$A$506)))*-1/10</f>
        <v>#N/A</v>
      </c>
      <c r="F11" s="5" t="e" cm="1">
        <f t="array" ref="F11">(INDEX(Stock_history!$C$1:$C$506,_xlfn.XMATCH('Indexable Inserts'!A11,Stock_history!$A$1:$A$506)))</f>
        <v>#N/A</v>
      </c>
      <c r="G11" s="5" t="e" cm="1">
        <f t="array" ref="G11">(INDEX(Stock_history!$D$1:$D$506,_xlfn.XMATCH('Indexable Inserts'!A11,Stock_history!$A$1:$A$506)))*-1/10</f>
        <v>#N/A</v>
      </c>
    </row>
    <row r="12" spans="1:7" x14ac:dyDescent="0.2">
      <c r="A12" s="2" t="s">
        <v>12</v>
      </c>
      <c r="B12" s="1" t="s">
        <v>4</v>
      </c>
      <c r="C12" s="1">
        <v>30</v>
      </c>
      <c r="D12" s="1">
        <f t="shared" si="0"/>
        <v>3</v>
      </c>
      <c r="E12" s="5" cm="1">
        <f t="array" ref="E12">(INDEX(Stock_history!$B$1:$B$506,_xlfn.XMATCH('Indexable Inserts'!A12,Stock_history!$A$1:$A$506)))*-1/10</f>
        <v>2</v>
      </c>
      <c r="F12" s="5" cm="1">
        <f t="array" ref="F12">(INDEX(Stock_history!$C$1:$C$506,_xlfn.XMATCH('Indexable Inserts'!A12,Stock_history!$A$1:$A$506)))</f>
        <v>2</v>
      </c>
      <c r="G12" s="5" cm="1">
        <f t="array" ref="G12">(INDEX(Stock_history!$D$1:$D$506,_xlfn.XMATCH('Indexable Inserts'!A12,Stock_history!$A$1:$A$506)))*-1/10</f>
        <v>1</v>
      </c>
    </row>
    <row r="13" spans="1:7" x14ac:dyDescent="0.2">
      <c r="A13" s="2" t="s">
        <v>13</v>
      </c>
      <c r="B13" s="1" t="s">
        <v>1</v>
      </c>
      <c r="C13" s="1">
        <v>40</v>
      </c>
      <c r="D13" s="1">
        <f t="shared" si="0"/>
        <v>4</v>
      </c>
      <c r="E13" s="5" cm="1">
        <f t="array" ref="E13">(INDEX(Stock_history!$B$1:$B$506,_xlfn.XMATCH('Indexable Inserts'!A13,Stock_history!$A$1:$A$506)))*-1/10</f>
        <v>3</v>
      </c>
      <c r="F13" s="5" cm="1">
        <f t="array" ref="F13">(INDEX(Stock_history!$C$1:$C$506,_xlfn.XMATCH('Indexable Inserts'!A13,Stock_history!$A$1:$A$506)))</f>
        <v>3</v>
      </c>
      <c r="G13" s="5" cm="1">
        <f t="array" ref="G13">(INDEX(Stock_history!$D$1:$D$506,_xlfn.XMATCH('Indexable Inserts'!A13,Stock_history!$A$1:$A$506)))*-1/10</f>
        <v>1</v>
      </c>
    </row>
    <row r="14" spans="1:7" x14ac:dyDescent="0.2">
      <c r="A14" s="2" t="s">
        <v>14</v>
      </c>
      <c r="B14" s="1" t="s">
        <v>1</v>
      </c>
      <c r="C14" s="1">
        <v>30</v>
      </c>
      <c r="D14" s="1">
        <f t="shared" si="0"/>
        <v>3</v>
      </c>
      <c r="E14" s="5" cm="1">
        <f t="array" ref="E14">(INDEX(Stock_history!$B$1:$B$506,_xlfn.XMATCH('Indexable Inserts'!A14,Stock_history!$A$1:$A$506)))*-1/10</f>
        <v>1</v>
      </c>
      <c r="F14" s="5" cm="1">
        <f t="array" ref="F14">(INDEX(Stock_history!$C$1:$C$506,_xlfn.XMATCH('Indexable Inserts'!A14,Stock_history!$A$1:$A$506)))</f>
        <v>1</v>
      </c>
      <c r="G14" s="5" cm="1">
        <f t="array" ref="G14">(INDEX(Stock_history!$D$1:$D$506,_xlfn.XMATCH('Indexable Inserts'!A14,Stock_history!$A$1:$A$506)))*-1/10</f>
        <v>1</v>
      </c>
    </row>
    <row r="15" spans="1:7" x14ac:dyDescent="0.2">
      <c r="A15" s="2" t="s">
        <v>15</v>
      </c>
      <c r="B15" s="1" t="s">
        <v>1</v>
      </c>
      <c r="C15" s="1">
        <v>40</v>
      </c>
      <c r="D15" s="1">
        <f t="shared" si="0"/>
        <v>4</v>
      </c>
      <c r="E15" s="5" cm="1">
        <f t="array" ref="E15">(INDEX(Stock_history!$B$1:$B$506,_xlfn.XMATCH('Indexable Inserts'!A15,Stock_history!$A$1:$A$506)))*-1/10</f>
        <v>1</v>
      </c>
      <c r="F15" s="5" cm="1">
        <f t="array" ref="F15">(INDEX(Stock_history!$C$1:$C$506,_xlfn.XMATCH('Indexable Inserts'!A15,Stock_history!$A$1:$A$506)))</f>
        <v>1</v>
      </c>
      <c r="G15" s="5" cm="1">
        <f t="array" ref="G15">(INDEX(Stock_history!$D$1:$D$506,_xlfn.XMATCH('Indexable Inserts'!A15,Stock_history!$A$1:$A$506)))*-1/10</f>
        <v>1</v>
      </c>
    </row>
    <row r="16" spans="1:7" x14ac:dyDescent="0.2">
      <c r="A16" s="2" t="s">
        <v>16</v>
      </c>
      <c r="B16" s="1" t="s">
        <v>1</v>
      </c>
      <c r="C16" s="1">
        <v>30</v>
      </c>
      <c r="D16" s="1">
        <f t="shared" si="0"/>
        <v>3</v>
      </c>
      <c r="E16" s="5" cm="1">
        <f t="array" ref="E16">(INDEX(Stock_history!$B$1:$B$506,_xlfn.XMATCH('Indexable Inserts'!A16,Stock_history!$A$1:$A$506)))*-1/10</f>
        <v>3</v>
      </c>
      <c r="F16" s="5" cm="1">
        <f t="array" ref="F16">(INDEX(Stock_history!$C$1:$C$506,_xlfn.XMATCH('Indexable Inserts'!A16,Stock_history!$A$1:$A$506)))</f>
        <v>3</v>
      </c>
      <c r="G16" s="5" cm="1">
        <f t="array" ref="G16">(INDEX(Stock_history!$D$1:$D$506,_xlfn.XMATCH('Indexable Inserts'!A16,Stock_history!$A$1:$A$506)))*-1/10</f>
        <v>1</v>
      </c>
    </row>
    <row r="17" spans="1:7" x14ac:dyDescent="0.2">
      <c r="A17" s="2" t="s">
        <v>17</v>
      </c>
      <c r="B17" s="1" t="s">
        <v>1</v>
      </c>
      <c r="C17" s="1">
        <v>20</v>
      </c>
      <c r="D17" s="1">
        <f t="shared" si="0"/>
        <v>2</v>
      </c>
      <c r="E17" s="5" cm="1">
        <f t="array" ref="E17">(INDEX(Stock_history!$B$1:$B$506,_xlfn.XMATCH('Indexable Inserts'!A17,Stock_history!$A$1:$A$506)))*-1/10</f>
        <v>1</v>
      </c>
      <c r="F17" s="5" cm="1">
        <f t="array" ref="F17">(INDEX(Stock_history!$C$1:$C$506,_xlfn.XMATCH('Indexable Inserts'!A17,Stock_history!$A$1:$A$506)))</f>
        <v>1</v>
      </c>
      <c r="G17" s="5" cm="1">
        <f t="array" ref="G17">(INDEX(Stock_history!$D$1:$D$506,_xlfn.XMATCH('Indexable Inserts'!A17,Stock_history!$A$1:$A$506)))*-1/10</f>
        <v>1</v>
      </c>
    </row>
    <row r="18" spans="1:7" x14ac:dyDescent="0.2">
      <c r="A18" s="2" t="s">
        <v>18</v>
      </c>
      <c r="B18" s="1" t="s">
        <v>1</v>
      </c>
      <c r="C18" s="1">
        <v>30</v>
      </c>
      <c r="D18" s="1">
        <f t="shared" si="0"/>
        <v>3</v>
      </c>
      <c r="E18" s="5" cm="1">
        <f t="array" ref="E18">(INDEX(Stock_history!$B$1:$B$506,_xlfn.XMATCH('Indexable Inserts'!A18,Stock_history!$A$1:$A$506)))*-1/10</f>
        <v>1</v>
      </c>
      <c r="F18" s="5" cm="1">
        <f t="array" ref="F18">(INDEX(Stock_history!$C$1:$C$506,_xlfn.XMATCH('Indexable Inserts'!A18,Stock_history!$A$1:$A$506)))</f>
        <v>1</v>
      </c>
      <c r="G18" s="5" cm="1">
        <f t="array" ref="G18">(INDEX(Stock_history!$D$1:$D$506,_xlfn.XMATCH('Indexable Inserts'!A18,Stock_history!$A$1:$A$506)))*-1/10</f>
        <v>1</v>
      </c>
    </row>
    <row r="19" spans="1:7" x14ac:dyDescent="0.2">
      <c r="A19" s="2" t="s">
        <v>19</v>
      </c>
      <c r="B19" s="1" t="s">
        <v>1</v>
      </c>
      <c r="C19" s="1">
        <v>30</v>
      </c>
      <c r="D19" s="1">
        <f t="shared" si="0"/>
        <v>3</v>
      </c>
      <c r="E19" s="5" t="e" cm="1">
        <f t="array" ref="E19">(INDEX(Stock_history!$B$1:$B$506,_xlfn.XMATCH('Indexable Inserts'!A19,Stock_history!$A$1:$A$506)))*-1/10</f>
        <v>#N/A</v>
      </c>
      <c r="F19" s="5" t="e" cm="1">
        <f t="array" ref="F19">(INDEX(Stock_history!$C$1:$C$506,_xlfn.XMATCH('Indexable Inserts'!A19,Stock_history!$A$1:$A$506)))</f>
        <v>#N/A</v>
      </c>
      <c r="G19" s="5" t="e" cm="1">
        <f t="array" ref="G19">(INDEX(Stock_history!$D$1:$D$506,_xlfn.XMATCH('Indexable Inserts'!A19,Stock_history!$A$1:$A$506)))*-1/10</f>
        <v>#N/A</v>
      </c>
    </row>
    <row r="20" spans="1:7" x14ac:dyDescent="0.2">
      <c r="A20" s="2" t="s">
        <v>20</v>
      </c>
      <c r="B20" s="1" t="s">
        <v>4</v>
      </c>
      <c r="C20" s="1">
        <v>760</v>
      </c>
      <c r="D20" s="1">
        <f t="shared" si="0"/>
        <v>76</v>
      </c>
      <c r="E20" s="5" cm="1">
        <f t="array" ref="E20">(INDEX(Stock_history!$B$1:$B$506,_xlfn.XMATCH('Indexable Inserts'!A20,Stock_history!$A$1:$A$506)))*-1/10</f>
        <v>709.8</v>
      </c>
      <c r="F20" s="5" cm="1">
        <f t="array" ref="F20">(INDEX(Stock_history!$C$1:$C$506,_xlfn.XMATCH('Indexable Inserts'!A20,Stock_history!$A$1:$A$506)))</f>
        <v>297</v>
      </c>
      <c r="G20" s="5" cm="1">
        <f t="array" ref="G20">(INDEX(Stock_history!$D$1:$D$506,_xlfn.XMATCH('Indexable Inserts'!A20,Stock_history!$A$1:$A$506)))*-1/10</f>
        <v>2.3899999999999997</v>
      </c>
    </row>
    <row r="21" spans="1:7" x14ac:dyDescent="0.2">
      <c r="A21" s="2" t="s">
        <v>21</v>
      </c>
      <c r="B21" s="1" t="s">
        <v>1</v>
      </c>
      <c r="C21" s="1">
        <v>20</v>
      </c>
      <c r="D21" s="1">
        <f t="shared" si="0"/>
        <v>2</v>
      </c>
      <c r="E21" s="5" cm="1">
        <f t="array" ref="E21">(INDEX(Stock_history!$B$1:$B$506,_xlfn.XMATCH('Indexable Inserts'!A21,Stock_history!$A$1:$A$506)))*-1/10</f>
        <v>1</v>
      </c>
      <c r="F21" s="5" cm="1">
        <f t="array" ref="F21">(INDEX(Stock_history!$C$1:$C$506,_xlfn.XMATCH('Indexable Inserts'!A21,Stock_history!$A$1:$A$506)))</f>
        <v>1</v>
      </c>
      <c r="G21" s="5" cm="1">
        <f t="array" ref="G21">(INDEX(Stock_history!$D$1:$D$506,_xlfn.XMATCH('Indexable Inserts'!A21,Stock_history!$A$1:$A$506)))*-1/10</f>
        <v>1</v>
      </c>
    </row>
    <row r="22" spans="1:7" x14ac:dyDescent="0.2">
      <c r="A22" s="2" t="s">
        <v>22</v>
      </c>
      <c r="B22" s="1" t="s">
        <v>1</v>
      </c>
      <c r="C22" s="1">
        <v>140</v>
      </c>
      <c r="D22" s="1">
        <f t="shared" si="0"/>
        <v>14</v>
      </c>
      <c r="E22" s="5" cm="1">
        <f t="array" ref="E22">(INDEX(Stock_history!$B$1:$B$506,_xlfn.XMATCH('Indexable Inserts'!A22,Stock_history!$A$1:$A$506)))*-1/10</f>
        <v>48</v>
      </c>
      <c r="F22" s="5" cm="1">
        <f t="array" ref="F22">(INDEX(Stock_history!$C$1:$C$506,_xlfn.XMATCH('Indexable Inserts'!A22,Stock_history!$A$1:$A$506)))</f>
        <v>31</v>
      </c>
      <c r="G22" s="5" cm="1">
        <f t="array" ref="G22">(INDEX(Stock_history!$D$1:$D$506,_xlfn.XMATCH('Indexable Inserts'!A22,Stock_history!$A$1:$A$506)))*-1/10</f>
        <v>1.55</v>
      </c>
    </row>
    <row r="23" spans="1:7" x14ac:dyDescent="0.2">
      <c r="A23" s="2" t="s">
        <v>23</v>
      </c>
      <c r="B23" s="1" t="s">
        <v>4</v>
      </c>
      <c r="C23" s="1">
        <v>150</v>
      </c>
      <c r="D23" s="1">
        <f t="shared" si="0"/>
        <v>15</v>
      </c>
      <c r="E23" s="5" cm="1">
        <f t="array" ref="E23">(INDEX(Stock_history!$B$1:$B$506,_xlfn.XMATCH('Indexable Inserts'!A23,Stock_history!$A$1:$A$506)))*-1/10</f>
        <v>47</v>
      </c>
      <c r="F23" s="5" cm="1">
        <f t="array" ref="F23">(INDEX(Stock_history!$C$1:$C$506,_xlfn.XMATCH('Indexable Inserts'!A23,Stock_history!$A$1:$A$506)))</f>
        <v>34</v>
      </c>
      <c r="G23" s="5" cm="1">
        <f t="array" ref="G23">(INDEX(Stock_history!$D$1:$D$506,_xlfn.XMATCH('Indexable Inserts'!A23,Stock_history!$A$1:$A$506)))*-1/10</f>
        <v>1.3800000000000001</v>
      </c>
    </row>
    <row r="24" spans="1:7" x14ac:dyDescent="0.2">
      <c r="A24" s="2" t="s">
        <v>24</v>
      </c>
      <c r="B24" s="1" t="s">
        <v>4</v>
      </c>
      <c r="C24" s="1">
        <v>50</v>
      </c>
      <c r="D24" s="1">
        <f t="shared" si="0"/>
        <v>5</v>
      </c>
      <c r="E24" s="5" cm="1">
        <f t="array" ref="E24">(INDEX(Stock_history!$B$1:$B$506,_xlfn.XMATCH('Indexable Inserts'!A24,Stock_history!$A$1:$A$506)))*-1/10</f>
        <v>7</v>
      </c>
      <c r="F24" s="5" cm="1">
        <f t="array" ref="F24">(INDEX(Stock_history!$C$1:$C$506,_xlfn.XMATCH('Indexable Inserts'!A24,Stock_history!$A$1:$A$506)))</f>
        <v>6</v>
      </c>
      <c r="G24" s="5" cm="1">
        <f t="array" ref="G24">(INDEX(Stock_history!$D$1:$D$506,_xlfn.XMATCH('Indexable Inserts'!A24,Stock_history!$A$1:$A$506)))*-1/10</f>
        <v>1.17</v>
      </c>
    </row>
    <row r="25" spans="1:7" x14ac:dyDescent="0.2">
      <c r="A25" s="2" t="s">
        <v>25</v>
      </c>
      <c r="B25" s="1" t="s">
        <v>4</v>
      </c>
      <c r="C25" s="1">
        <v>90</v>
      </c>
      <c r="D25" s="1">
        <f t="shared" si="0"/>
        <v>9</v>
      </c>
      <c r="E25" s="5" cm="1">
        <f t="array" ref="E25">(INDEX(Stock_history!$B$1:$B$506,_xlfn.XMATCH('Indexable Inserts'!A25,Stock_history!$A$1:$A$506)))*-1/10</f>
        <v>17</v>
      </c>
      <c r="F25" s="5" cm="1">
        <f t="array" ref="F25">(INDEX(Stock_history!$C$1:$C$506,_xlfn.XMATCH('Indexable Inserts'!A25,Stock_history!$A$1:$A$506)))</f>
        <v>12</v>
      </c>
      <c r="G25" s="5" cm="1">
        <f t="array" ref="G25">(INDEX(Stock_history!$D$1:$D$506,_xlfn.XMATCH('Indexable Inserts'!A25,Stock_history!$A$1:$A$506)))*-1/10</f>
        <v>1.42</v>
      </c>
    </row>
    <row r="26" spans="1:7" x14ac:dyDescent="0.2">
      <c r="A26" s="2" t="s">
        <v>26</v>
      </c>
      <c r="B26" s="1" t="s">
        <v>1</v>
      </c>
      <c r="C26" s="1">
        <v>20</v>
      </c>
      <c r="D26" s="1">
        <f t="shared" si="0"/>
        <v>2</v>
      </c>
      <c r="E26" s="5" cm="1">
        <f t="array" ref="E26">(INDEX(Stock_history!$B$1:$B$506,_xlfn.XMATCH('Indexable Inserts'!A26,Stock_history!$A$1:$A$506)))*-1/10</f>
        <v>2</v>
      </c>
      <c r="F26" s="5" cm="1">
        <f t="array" ref="F26">(INDEX(Stock_history!$C$1:$C$506,_xlfn.XMATCH('Indexable Inserts'!A26,Stock_history!$A$1:$A$506)))</f>
        <v>2</v>
      </c>
      <c r="G26" s="5" cm="1">
        <f t="array" ref="G26">(INDEX(Stock_history!$D$1:$D$506,_xlfn.XMATCH('Indexable Inserts'!A26,Stock_history!$A$1:$A$506)))*-1/10</f>
        <v>1</v>
      </c>
    </row>
    <row r="27" spans="1:7" x14ac:dyDescent="0.2">
      <c r="A27" s="2" t="s">
        <v>27</v>
      </c>
      <c r="B27" s="1" t="s">
        <v>1</v>
      </c>
      <c r="C27" s="1">
        <v>20</v>
      </c>
      <c r="D27" s="1">
        <f t="shared" si="0"/>
        <v>2</v>
      </c>
      <c r="E27" s="5" t="e" cm="1">
        <f t="array" ref="E27">(INDEX(Stock_history!$B$1:$B$506,_xlfn.XMATCH('Indexable Inserts'!A27,Stock_history!$A$1:$A$506)))*-1/10</f>
        <v>#N/A</v>
      </c>
      <c r="F27" s="5" t="e" cm="1">
        <f t="array" ref="F27">(INDEX(Stock_history!$C$1:$C$506,_xlfn.XMATCH('Indexable Inserts'!A27,Stock_history!$A$1:$A$506)))</f>
        <v>#N/A</v>
      </c>
      <c r="G27" s="5" t="e" cm="1">
        <f t="array" ref="G27">(INDEX(Stock_history!$D$1:$D$506,_xlfn.XMATCH('Indexable Inserts'!A27,Stock_history!$A$1:$A$506)))*-1/10</f>
        <v>#N/A</v>
      </c>
    </row>
    <row r="28" spans="1:7" x14ac:dyDescent="0.2">
      <c r="A28" s="2" t="s">
        <v>28</v>
      </c>
      <c r="B28" s="1" t="s">
        <v>1</v>
      </c>
      <c r="C28" s="1">
        <v>20</v>
      </c>
      <c r="D28" s="1">
        <f t="shared" si="0"/>
        <v>2</v>
      </c>
      <c r="E28" s="5" t="e" cm="1">
        <f t="array" ref="E28">(INDEX(Stock_history!$B$1:$B$506,_xlfn.XMATCH('Indexable Inserts'!A28,Stock_history!$A$1:$A$506)))*-1/10</f>
        <v>#N/A</v>
      </c>
      <c r="F28" s="5" t="e" cm="1">
        <f t="array" ref="F28">(INDEX(Stock_history!$C$1:$C$506,_xlfn.XMATCH('Indexable Inserts'!A28,Stock_history!$A$1:$A$506)))</f>
        <v>#N/A</v>
      </c>
      <c r="G28" s="5" t="e" cm="1">
        <f t="array" ref="G28">(INDEX(Stock_history!$D$1:$D$506,_xlfn.XMATCH('Indexable Inserts'!A28,Stock_history!$A$1:$A$506)))*-1/10</f>
        <v>#N/A</v>
      </c>
    </row>
    <row r="29" spans="1:7" x14ac:dyDescent="0.2">
      <c r="A29" s="2" t="s">
        <v>29</v>
      </c>
      <c r="B29" s="1" t="s">
        <v>30</v>
      </c>
      <c r="C29" s="1">
        <v>100</v>
      </c>
      <c r="D29" s="1">
        <f t="shared" si="0"/>
        <v>10</v>
      </c>
      <c r="E29" s="5" cm="1">
        <f t="array" ref="E29">(INDEX(Stock_history!$B$1:$B$506,_xlfn.XMATCH('Indexable Inserts'!A29,Stock_history!$A$1:$A$506)))*-1/10</f>
        <v>11.8</v>
      </c>
      <c r="F29" s="5" cm="1">
        <f t="array" ref="F29">(INDEX(Stock_history!$C$1:$C$506,_xlfn.XMATCH('Indexable Inserts'!A29,Stock_history!$A$1:$A$506)))</f>
        <v>11</v>
      </c>
      <c r="G29" s="5" cm="1">
        <f t="array" ref="G29">(INDEX(Stock_history!$D$1:$D$506,_xlfn.XMATCH('Indexable Inserts'!A29,Stock_history!$A$1:$A$506)))*-1/10</f>
        <v>1.0699999999999998</v>
      </c>
    </row>
    <row r="30" spans="1:7" x14ac:dyDescent="0.2">
      <c r="A30" s="2" t="s">
        <v>31</v>
      </c>
      <c r="B30" s="1" t="s">
        <v>32</v>
      </c>
      <c r="C30" s="1">
        <v>40</v>
      </c>
      <c r="D30" s="1">
        <f t="shared" si="0"/>
        <v>4</v>
      </c>
      <c r="E30" s="5" cm="1">
        <f t="array" ref="E30">(INDEX(Stock_history!$B$1:$B$506,_xlfn.XMATCH('Indexable Inserts'!A30,Stock_history!$A$1:$A$506)))*-1/10</f>
        <v>8</v>
      </c>
      <c r="F30" s="5" cm="1">
        <f t="array" ref="F30">(INDEX(Stock_history!$C$1:$C$506,_xlfn.XMATCH('Indexable Inserts'!A30,Stock_history!$A$1:$A$506)))</f>
        <v>7</v>
      </c>
      <c r="G30" s="5" cm="1">
        <f t="array" ref="G30">(INDEX(Stock_history!$D$1:$D$506,_xlfn.XMATCH('Indexable Inserts'!A30,Stock_history!$A$1:$A$506)))*-1/10</f>
        <v>1.1400000000000001</v>
      </c>
    </row>
    <row r="31" spans="1:7" x14ac:dyDescent="0.2">
      <c r="A31" s="2" t="s">
        <v>33</v>
      </c>
      <c r="B31" s="1" t="s">
        <v>30</v>
      </c>
      <c r="C31" s="1">
        <v>80</v>
      </c>
      <c r="D31" s="1">
        <f t="shared" si="0"/>
        <v>8</v>
      </c>
      <c r="E31" s="5" cm="1">
        <f t="array" ref="E31">(INDEX(Stock_history!$B$1:$B$506,_xlfn.XMATCH('Indexable Inserts'!A31,Stock_history!$A$1:$A$506)))*-1/10</f>
        <v>5</v>
      </c>
      <c r="F31" s="5" cm="1">
        <f t="array" ref="F31">(INDEX(Stock_history!$C$1:$C$506,_xlfn.XMATCH('Indexable Inserts'!A31,Stock_history!$A$1:$A$506)))</f>
        <v>5</v>
      </c>
      <c r="G31" s="5" cm="1">
        <f t="array" ref="G31">(INDEX(Stock_history!$D$1:$D$506,_xlfn.XMATCH('Indexable Inserts'!A31,Stock_history!$A$1:$A$506)))*-1/10</f>
        <v>1</v>
      </c>
    </row>
    <row r="32" spans="1:7" x14ac:dyDescent="0.2">
      <c r="A32" s="2" t="s">
        <v>34</v>
      </c>
      <c r="B32" s="1" t="s">
        <v>30</v>
      </c>
      <c r="C32" s="1">
        <v>40</v>
      </c>
      <c r="D32" s="1">
        <f t="shared" si="0"/>
        <v>4</v>
      </c>
      <c r="E32" s="5" cm="1">
        <f t="array" ref="E32">(INDEX(Stock_history!$B$1:$B$506,_xlfn.XMATCH('Indexable Inserts'!A32,Stock_history!$A$1:$A$506)))*-1/10</f>
        <v>5</v>
      </c>
      <c r="F32" s="5" cm="1">
        <f t="array" ref="F32">(INDEX(Stock_history!$C$1:$C$506,_xlfn.XMATCH('Indexable Inserts'!A32,Stock_history!$A$1:$A$506)))</f>
        <v>3</v>
      </c>
      <c r="G32" s="5" cm="1">
        <f t="array" ref="G32">(INDEX(Stock_history!$D$1:$D$506,_xlfn.XMATCH('Indexable Inserts'!A32,Stock_history!$A$1:$A$506)))*-1/10</f>
        <v>1.67</v>
      </c>
    </row>
    <row r="33" spans="1:7" x14ac:dyDescent="0.2">
      <c r="A33" s="2" t="s">
        <v>35</v>
      </c>
      <c r="B33" s="1" t="s">
        <v>30</v>
      </c>
      <c r="C33" s="1">
        <v>20</v>
      </c>
      <c r="D33" s="1">
        <f t="shared" si="0"/>
        <v>2</v>
      </c>
      <c r="E33" s="5" cm="1">
        <f t="array" ref="E33">(INDEX(Stock_history!$B$1:$B$506,_xlfn.XMATCH('Indexable Inserts'!A33,Stock_history!$A$1:$A$506)))*-1/10</f>
        <v>2</v>
      </c>
      <c r="F33" s="5" cm="1">
        <f t="array" ref="F33">(INDEX(Stock_history!$C$1:$C$506,_xlfn.XMATCH('Indexable Inserts'!A33,Stock_history!$A$1:$A$506)))</f>
        <v>3</v>
      </c>
      <c r="G33" s="5" cm="1">
        <f t="array" ref="G33">(INDEX(Stock_history!$D$1:$D$506,_xlfn.XMATCH('Indexable Inserts'!A33,Stock_history!$A$1:$A$506)))*-1/10</f>
        <v>0.67</v>
      </c>
    </row>
    <row r="34" spans="1:7" x14ac:dyDescent="0.2">
      <c r="A34" s="2" t="s">
        <v>36</v>
      </c>
      <c r="B34" s="1" t="s">
        <v>30</v>
      </c>
      <c r="C34" s="1">
        <v>10</v>
      </c>
      <c r="D34" s="1">
        <f t="shared" ref="D34:D65" si="1">C34/10</f>
        <v>1</v>
      </c>
      <c r="E34" s="5" t="e" cm="1">
        <f t="array" ref="E34">(INDEX(Stock_history!$B$1:$B$506,_xlfn.XMATCH('Indexable Inserts'!A34,Stock_history!$A$1:$A$506)))*-1/10</f>
        <v>#N/A</v>
      </c>
      <c r="F34" s="5" t="e" cm="1">
        <f t="array" ref="F34">(INDEX(Stock_history!$C$1:$C$506,_xlfn.XMATCH('Indexable Inserts'!A34,Stock_history!$A$1:$A$506)))</f>
        <v>#N/A</v>
      </c>
      <c r="G34" s="5" t="e" cm="1">
        <f t="array" ref="G34">(INDEX(Stock_history!$D$1:$D$506,_xlfn.XMATCH('Indexable Inserts'!A34,Stock_history!$A$1:$A$506)))*-1/10</f>
        <v>#N/A</v>
      </c>
    </row>
    <row r="35" spans="1:7" x14ac:dyDescent="0.2">
      <c r="A35" s="2" t="s">
        <v>37</v>
      </c>
      <c r="B35" s="1" t="s">
        <v>30</v>
      </c>
      <c r="C35" s="1">
        <v>70</v>
      </c>
      <c r="D35" s="1">
        <f t="shared" si="1"/>
        <v>7</v>
      </c>
      <c r="E35" s="5" cm="1">
        <f t="array" ref="E35">(INDEX(Stock_history!$B$1:$B$506,_xlfn.XMATCH('Indexable Inserts'!A35,Stock_history!$A$1:$A$506)))*-1/10</f>
        <v>17</v>
      </c>
      <c r="F35" s="5" cm="1">
        <f t="array" ref="F35">(INDEX(Stock_history!$C$1:$C$506,_xlfn.XMATCH('Indexable Inserts'!A35,Stock_history!$A$1:$A$506)))</f>
        <v>21</v>
      </c>
      <c r="G35" s="5" cm="1">
        <f t="array" ref="G35">(INDEX(Stock_history!$D$1:$D$506,_xlfn.XMATCH('Indexable Inserts'!A35,Stock_history!$A$1:$A$506)))*-1/10</f>
        <v>0.80999999999999994</v>
      </c>
    </row>
    <row r="36" spans="1:7" x14ac:dyDescent="0.2">
      <c r="A36" s="2" t="s">
        <v>38</v>
      </c>
      <c r="B36" s="1" t="s">
        <v>39</v>
      </c>
      <c r="C36" s="1">
        <v>50</v>
      </c>
      <c r="D36" s="1">
        <f t="shared" si="1"/>
        <v>5</v>
      </c>
      <c r="E36" s="5" cm="1">
        <f t="array" ref="E36">(INDEX(Stock_history!$B$1:$B$506,_xlfn.XMATCH('Indexable Inserts'!A36,Stock_history!$A$1:$A$506)))*-1/10</f>
        <v>10</v>
      </c>
      <c r="F36" s="5" cm="1">
        <f t="array" ref="F36">(INDEX(Stock_history!$C$1:$C$506,_xlfn.XMATCH('Indexable Inserts'!A36,Stock_history!$A$1:$A$506)))</f>
        <v>9</v>
      </c>
      <c r="G36" s="5" cm="1">
        <f t="array" ref="G36">(INDEX(Stock_history!$D$1:$D$506,_xlfn.XMATCH('Indexable Inserts'!A36,Stock_history!$A$1:$A$506)))*-1/10</f>
        <v>1.1099999999999999</v>
      </c>
    </row>
    <row r="37" spans="1:7" x14ac:dyDescent="0.2">
      <c r="A37" s="2" t="s">
        <v>40</v>
      </c>
      <c r="B37" s="1" t="s">
        <v>30</v>
      </c>
      <c r="C37" s="1">
        <v>20</v>
      </c>
      <c r="D37" s="1">
        <f t="shared" si="1"/>
        <v>2</v>
      </c>
      <c r="E37" s="5" t="e" cm="1">
        <f t="array" ref="E37">(INDEX(Stock_history!$B$1:$B$506,_xlfn.XMATCH('Indexable Inserts'!A37,Stock_history!$A$1:$A$506)))*-1/10</f>
        <v>#N/A</v>
      </c>
      <c r="F37" s="5" t="e" cm="1">
        <f t="array" ref="F37">(INDEX(Stock_history!$C$1:$C$506,_xlfn.XMATCH('Indexable Inserts'!A37,Stock_history!$A$1:$A$506)))</f>
        <v>#N/A</v>
      </c>
      <c r="G37" s="5" t="e" cm="1">
        <f t="array" ref="G37">(INDEX(Stock_history!$D$1:$D$506,_xlfn.XMATCH('Indexable Inserts'!A37,Stock_history!$A$1:$A$506)))*-1/10</f>
        <v>#N/A</v>
      </c>
    </row>
    <row r="38" spans="1:7" x14ac:dyDescent="0.2">
      <c r="A38" s="2" t="s">
        <v>41</v>
      </c>
      <c r="B38" s="1" t="s">
        <v>30</v>
      </c>
      <c r="C38" s="1">
        <v>30</v>
      </c>
      <c r="D38" s="1">
        <f t="shared" si="1"/>
        <v>3</v>
      </c>
      <c r="E38" s="5" cm="1">
        <f t="array" ref="E38">(INDEX(Stock_history!$B$1:$B$506,_xlfn.XMATCH('Indexable Inserts'!A38,Stock_history!$A$1:$A$506)))*-1/10</f>
        <v>3</v>
      </c>
      <c r="F38" s="5" cm="1">
        <f t="array" ref="F38">(INDEX(Stock_history!$C$1:$C$506,_xlfn.XMATCH('Indexable Inserts'!A38,Stock_history!$A$1:$A$506)))</f>
        <v>3</v>
      </c>
      <c r="G38" s="5" cm="1">
        <f t="array" ref="G38">(INDEX(Stock_history!$D$1:$D$506,_xlfn.XMATCH('Indexable Inserts'!A38,Stock_history!$A$1:$A$506)))*-1/10</f>
        <v>1</v>
      </c>
    </row>
    <row r="39" spans="1:7" x14ac:dyDescent="0.2">
      <c r="A39" s="2" t="s">
        <v>42</v>
      </c>
      <c r="B39" s="1" t="s">
        <v>30</v>
      </c>
      <c r="C39" s="1">
        <v>60</v>
      </c>
      <c r="D39" s="1">
        <f t="shared" si="1"/>
        <v>6</v>
      </c>
      <c r="E39" s="5" cm="1">
        <f t="array" ref="E39">(INDEX(Stock_history!$B$1:$B$506,_xlfn.XMATCH('Indexable Inserts'!A39,Stock_history!$A$1:$A$506)))*-1/10</f>
        <v>9.6999999999999993</v>
      </c>
      <c r="F39" s="5" cm="1">
        <f t="array" ref="F39">(INDEX(Stock_history!$C$1:$C$506,_xlfn.XMATCH('Indexable Inserts'!A39,Stock_history!$A$1:$A$506)))</f>
        <v>9</v>
      </c>
      <c r="G39" s="5" cm="1">
        <f t="array" ref="G39">(INDEX(Stock_history!$D$1:$D$506,_xlfn.XMATCH('Indexable Inserts'!A39,Stock_history!$A$1:$A$506)))*-1/10</f>
        <v>1.08</v>
      </c>
    </row>
    <row r="40" spans="1:7" x14ac:dyDescent="0.2">
      <c r="A40" s="2" t="s">
        <v>43</v>
      </c>
      <c r="B40" s="1" t="s">
        <v>30</v>
      </c>
      <c r="C40" s="1">
        <v>20</v>
      </c>
      <c r="D40" s="1">
        <f t="shared" si="1"/>
        <v>2</v>
      </c>
      <c r="E40" s="5" cm="1">
        <f t="array" ref="E40">(INDEX(Stock_history!$B$1:$B$506,_xlfn.XMATCH('Indexable Inserts'!A40,Stock_history!$A$1:$A$506)))*-1/10</f>
        <v>0.5</v>
      </c>
      <c r="F40" s="5" cm="1">
        <f t="array" ref="F40">(INDEX(Stock_history!$C$1:$C$506,_xlfn.XMATCH('Indexable Inserts'!A40,Stock_history!$A$1:$A$506)))</f>
        <v>2</v>
      </c>
      <c r="G40" s="5" cm="1">
        <f t="array" ref="G40">(INDEX(Stock_history!$D$1:$D$506,_xlfn.XMATCH('Indexable Inserts'!A40,Stock_history!$A$1:$A$506)))*-1/10</f>
        <v>0.25</v>
      </c>
    </row>
    <row r="41" spans="1:7" x14ac:dyDescent="0.2">
      <c r="A41" s="2" t="s">
        <v>44</v>
      </c>
      <c r="B41" s="1" t="s">
        <v>39</v>
      </c>
      <c r="C41" s="1">
        <v>30</v>
      </c>
      <c r="D41" s="1">
        <f t="shared" si="1"/>
        <v>3</v>
      </c>
      <c r="E41" s="5" cm="1">
        <f t="array" ref="E41">(INDEX(Stock_history!$B$1:$B$506,_xlfn.XMATCH('Indexable Inserts'!A41,Stock_history!$A$1:$A$506)))*-1/10</f>
        <v>3.1</v>
      </c>
      <c r="F41" s="5" cm="1">
        <f t="array" ref="F41">(INDEX(Stock_history!$C$1:$C$506,_xlfn.XMATCH('Indexable Inserts'!A41,Stock_history!$A$1:$A$506)))</f>
        <v>4</v>
      </c>
      <c r="G41" s="5" cm="1">
        <f t="array" ref="G41">(INDEX(Stock_history!$D$1:$D$506,_xlfn.XMATCH('Indexable Inserts'!A41,Stock_history!$A$1:$A$506)))*-1/10</f>
        <v>0.78</v>
      </c>
    </row>
    <row r="42" spans="1:7" x14ac:dyDescent="0.2">
      <c r="A42" s="2" t="s">
        <v>45</v>
      </c>
      <c r="B42" s="1" t="s">
        <v>30</v>
      </c>
      <c r="C42" s="1">
        <v>50</v>
      </c>
      <c r="D42" s="1">
        <f t="shared" si="1"/>
        <v>5</v>
      </c>
      <c r="E42" s="5" cm="1">
        <f t="array" ref="E42">(INDEX(Stock_history!$B$1:$B$506,_xlfn.XMATCH('Indexable Inserts'!A42,Stock_history!$A$1:$A$506)))*-1/10</f>
        <v>6</v>
      </c>
      <c r="F42" s="5" cm="1">
        <f t="array" ref="F42">(INDEX(Stock_history!$C$1:$C$506,_xlfn.XMATCH('Indexable Inserts'!A42,Stock_history!$A$1:$A$506)))</f>
        <v>6</v>
      </c>
      <c r="G42" s="5" cm="1">
        <f t="array" ref="G42">(INDEX(Stock_history!$D$1:$D$506,_xlfn.XMATCH('Indexable Inserts'!A42,Stock_history!$A$1:$A$506)))*-1/10</f>
        <v>1</v>
      </c>
    </row>
    <row r="43" spans="1:7" x14ac:dyDescent="0.2">
      <c r="A43" s="2" t="s">
        <v>46</v>
      </c>
      <c r="B43" s="1" t="s">
        <v>30</v>
      </c>
      <c r="C43" s="1">
        <v>40</v>
      </c>
      <c r="D43" s="1">
        <f t="shared" si="1"/>
        <v>4</v>
      </c>
      <c r="E43" s="5" cm="1">
        <f t="array" ref="E43">(INDEX(Stock_history!$B$1:$B$506,_xlfn.XMATCH('Indexable Inserts'!A43,Stock_history!$A$1:$A$506)))*-1/10</f>
        <v>4</v>
      </c>
      <c r="F43" s="5" cm="1">
        <f t="array" ref="F43">(INDEX(Stock_history!$C$1:$C$506,_xlfn.XMATCH('Indexable Inserts'!A43,Stock_history!$A$1:$A$506)))</f>
        <v>3</v>
      </c>
      <c r="G43" s="5" cm="1">
        <f t="array" ref="G43">(INDEX(Stock_history!$D$1:$D$506,_xlfn.XMATCH('Indexable Inserts'!A43,Stock_history!$A$1:$A$506)))*-1/10</f>
        <v>1.33</v>
      </c>
    </row>
    <row r="44" spans="1:7" x14ac:dyDescent="0.2">
      <c r="A44" s="2" t="s">
        <v>47</v>
      </c>
      <c r="B44" s="1" t="s">
        <v>30</v>
      </c>
      <c r="C44" s="1">
        <v>50</v>
      </c>
      <c r="D44" s="1">
        <f t="shared" si="1"/>
        <v>5</v>
      </c>
      <c r="E44" s="5" cm="1">
        <f t="array" ref="E44">(INDEX(Stock_history!$B$1:$B$506,_xlfn.XMATCH('Indexable Inserts'!A44,Stock_history!$A$1:$A$506)))*-1/10</f>
        <v>11.2</v>
      </c>
      <c r="F44" s="5" cm="1">
        <f t="array" ref="F44">(INDEX(Stock_history!$C$1:$C$506,_xlfn.XMATCH('Indexable Inserts'!A44,Stock_history!$A$1:$A$506)))</f>
        <v>13</v>
      </c>
      <c r="G44" s="5" cm="1">
        <f t="array" ref="G44">(INDEX(Stock_history!$D$1:$D$506,_xlfn.XMATCH('Indexable Inserts'!A44,Stock_history!$A$1:$A$506)))*-1/10</f>
        <v>0.86</v>
      </c>
    </row>
    <row r="45" spans="1:7" x14ac:dyDescent="0.2">
      <c r="A45" s="2" t="s">
        <v>48</v>
      </c>
      <c r="B45" s="1" t="s">
        <v>30</v>
      </c>
      <c r="C45" s="1">
        <v>20</v>
      </c>
      <c r="D45" s="1">
        <f t="shared" si="1"/>
        <v>2</v>
      </c>
      <c r="E45" s="5" cm="1">
        <f t="array" ref="E45">(INDEX(Stock_history!$B$1:$B$506,_xlfn.XMATCH('Indexable Inserts'!A45,Stock_history!$A$1:$A$506)))*-1/10</f>
        <v>1</v>
      </c>
      <c r="F45" s="5" cm="1">
        <f t="array" ref="F45">(INDEX(Stock_history!$C$1:$C$506,_xlfn.XMATCH('Indexable Inserts'!A45,Stock_history!$A$1:$A$506)))</f>
        <v>1</v>
      </c>
      <c r="G45" s="5" cm="1">
        <f t="array" ref="G45">(INDEX(Stock_history!$D$1:$D$506,_xlfn.XMATCH('Indexable Inserts'!A45,Stock_history!$A$1:$A$506)))*-1/10</f>
        <v>1</v>
      </c>
    </row>
    <row r="46" spans="1:7" x14ac:dyDescent="0.2">
      <c r="A46" s="2" t="s">
        <v>49</v>
      </c>
      <c r="B46" s="1" t="s">
        <v>30</v>
      </c>
      <c r="C46" s="1">
        <v>20</v>
      </c>
      <c r="D46" s="1">
        <f t="shared" si="1"/>
        <v>2</v>
      </c>
      <c r="E46" s="5" cm="1">
        <f t="array" ref="E46">(INDEX(Stock_history!$B$1:$B$506,_xlfn.XMATCH('Indexable Inserts'!A46,Stock_history!$A$1:$A$506)))*-1/10</f>
        <v>3</v>
      </c>
      <c r="F46" s="5" cm="1">
        <f t="array" ref="F46">(INDEX(Stock_history!$C$1:$C$506,_xlfn.XMATCH('Indexable Inserts'!A46,Stock_history!$A$1:$A$506)))</f>
        <v>3</v>
      </c>
      <c r="G46" s="5" cm="1">
        <f t="array" ref="G46">(INDEX(Stock_history!$D$1:$D$506,_xlfn.XMATCH('Indexable Inserts'!A46,Stock_history!$A$1:$A$506)))*-1/10</f>
        <v>1</v>
      </c>
    </row>
    <row r="47" spans="1:7" x14ac:dyDescent="0.2">
      <c r="A47" s="2" t="s">
        <v>50</v>
      </c>
      <c r="B47" s="1" t="s">
        <v>30</v>
      </c>
      <c r="C47" s="1">
        <v>60</v>
      </c>
      <c r="D47" s="1">
        <f t="shared" si="1"/>
        <v>6</v>
      </c>
      <c r="E47" s="5" cm="1">
        <f t="array" ref="E47">(INDEX(Stock_history!$B$1:$B$506,_xlfn.XMATCH('Indexable Inserts'!A47,Stock_history!$A$1:$A$506)))*-1/10</f>
        <v>13.1</v>
      </c>
      <c r="F47" s="5" cm="1">
        <f t="array" ref="F47">(INDEX(Stock_history!$C$1:$C$506,_xlfn.XMATCH('Indexable Inserts'!A47,Stock_history!$A$1:$A$506)))</f>
        <v>16</v>
      </c>
      <c r="G47" s="5" cm="1">
        <f t="array" ref="G47">(INDEX(Stock_history!$D$1:$D$506,_xlfn.XMATCH('Indexable Inserts'!A47,Stock_history!$A$1:$A$506)))*-1/10</f>
        <v>0.82</v>
      </c>
    </row>
    <row r="48" spans="1:7" x14ac:dyDescent="0.2">
      <c r="A48" s="2" t="s">
        <v>51</v>
      </c>
      <c r="B48" s="1" t="s">
        <v>30</v>
      </c>
      <c r="C48" s="1">
        <v>100</v>
      </c>
      <c r="D48" s="1">
        <f t="shared" si="1"/>
        <v>10</v>
      </c>
      <c r="E48" s="5" cm="1">
        <f t="array" ref="E48">(INDEX(Stock_history!$B$1:$B$506,_xlfn.XMATCH('Indexable Inserts'!A48,Stock_history!$A$1:$A$506)))*-1/10</f>
        <v>31.2</v>
      </c>
      <c r="F48" s="5" cm="1">
        <f t="array" ref="F48">(INDEX(Stock_history!$C$1:$C$506,_xlfn.XMATCH('Indexable Inserts'!A48,Stock_history!$A$1:$A$506)))</f>
        <v>32</v>
      </c>
      <c r="G48" s="5" cm="1">
        <f t="array" ref="G48">(INDEX(Stock_history!$D$1:$D$506,_xlfn.XMATCH('Indexable Inserts'!A48,Stock_history!$A$1:$A$506)))*-1/10</f>
        <v>0.98000000000000009</v>
      </c>
    </row>
    <row r="49" spans="1:7" x14ac:dyDescent="0.2">
      <c r="A49" s="2" t="s">
        <v>52</v>
      </c>
      <c r="B49" s="1" t="s">
        <v>30</v>
      </c>
      <c r="C49" s="1">
        <v>20</v>
      </c>
      <c r="D49" s="1">
        <f t="shared" si="1"/>
        <v>2</v>
      </c>
      <c r="E49" s="5" cm="1">
        <f t="array" ref="E49">(INDEX(Stock_history!$B$1:$B$506,_xlfn.XMATCH('Indexable Inserts'!A49,Stock_history!$A$1:$A$506)))*-1/10</f>
        <v>2.9</v>
      </c>
      <c r="F49" s="5" cm="1">
        <f t="array" ref="F49">(INDEX(Stock_history!$C$1:$C$506,_xlfn.XMATCH('Indexable Inserts'!A49,Stock_history!$A$1:$A$506)))</f>
        <v>3</v>
      </c>
      <c r="G49" s="5" cm="1">
        <f t="array" ref="G49">(INDEX(Stock_history!$D$1:$D$506,_xlfn.XMATCH('Indexable Inserts'!A49,Stock_history!$A$1:$A$506)))*-1/10</f>
        <v>0.97</v>
      </c>
    </row>
    <row r="50" spans="1:7" x14ac:dyDescent="0.2">
      <c r="A50" s="2" t="s">
        <v>53</v>
      </c>
      <c r="B50" s="1" t="s">
        <v>54</v>
      </c>
      <c r="C50" s="1">
        <v>10</v>
      </c>
      <c r="D50" s="1">
        <f t="shared" si="1"/>
        <v>1</v>
      </c>
      <c r="E50" s="5" cm="1">
        <f t="array" ref="E50">(INDEX(Stock_history!$B$1:$B$506,_xlfn.XMATCH('Indexable Inserts'!A50,Stock_history!$A$1:$A$506)))*-1/10</f>
        <v>2</v>
      </c>
      <c r="F50" s="5" cm="1">
        <f t="array" ref="F50">(INDEX(Stock_history!$C$1:$C$506,_xlfn.XMATCH('Indexable Inserts'!A50,Stock_history!$A$1:$A$506)))</f>
        <v>2</v>
      </c>
      <c r="G50" s="5" cm="1">
        <f t="array" ref="G50">(INDEX(Stock_history!$D$1:$D$506,_xlfn.XMATCH('Indexable Inserts'!A50,Stock_history!$A$1:$A$506)))*-1/10</f>
        <v>1</v>
      </c>
    </row>
    <row r="51" spans="1:7" x14ac:dyDescent="0.2">
      <c r="A51" s="2" t="s">
        <v>55</v>
      </c>
      <c r="B51" s="1" t="s">
        <v>54</v>
      </c>
      <c r="C51" s="1">
        <v>240</v>
      </c>
      <c r="D51" s="1">
        <f t="shared" si="1"/>
        <v>24</v>
      </c>
      <c r="E51" s="5" cm="1">
        <f t="array" ref="E51">(INDEX(Stock_history!$B$1:$B$506,_xlfn.XMATCH('Indexable Inserts'!A51,Stock_history!$A$1:$A$506)))*-1/10</f>
        <v>65</v>
      </c>
      <c r="F51" s="5" cm="1">
        <f t="array" ref="F51">(INDEX(Stock_history!$C$1:$C$506,_xlfn.XMATCH('Indexable Inserts'!A51,Stock_history!$A$1:$A$506)))</f>
        <v>35</v>
      </c>
      <c r="G51" s="5" cm="1">
        <f t="array" ref="G51">(INDEX(Stock_history!$D$1:$D$506,_xlfn.XMATCH('Indexable Inserts'!A51,Stock_history!$A$1:$A$506)))*-1/10</f>
        <v>1.86</v>
      </c>
    </row>
    <row r="52" spans="1:7" x14ac:dyDescent="0.2">
      <c r="A52" s="2" t="s">
        <v>56</v>
      </c>
      <c r="B52" s="1" t="s">
        <v>54</v>
      </c>
      <c r="C52" s="1">
        <v>140</v>
      </c>
      <c r="D52" s="1">
        <f t="shared" si="1"/>
        <v>14</v>
      </c>
      <c r="E52" s="5" cm="1">
        <f t="array" ref="E52">(INDEX(Stock_history!$B$1:$B$506,_xlfn.XMATCH('Indexable Inserts'!A52,Stock_history!$A$1:$A$506)))*-1/10</f>
        <v>50</v>
      </c>
      <c r="F52" s="5" cm="1">
        <f t="array" ref="F52">(INDEX(Stock_history!$C$1:$C$506,_xlfn.XMATCH('Indexable Inserts'!A52,Stock_history!$A$1:$A$506)))</f>
        <v>39</v>
      </c>
      <c r="G52" s="5" cm="1">
        <f t="array" ref="G52">(INDEX(Stock_history!$D$1:$D$506,_xlfn.XMATCH('Indexable Inserts'!A52,Stock_history!$A$1:$A$506)))*-1/10</f>
        <v>1.28</v>
      </c>
    </row>
    <row r="53" spans="1:7" x14ac:dyDescent="0.2">
      <c r="A53" s="2" t="s">
        <v>57</v>
      </c>
      <c r="B53" s="1" t="s">
        <v>54</v>
      </c>
      <c r="C53" s="1">
        <v>40</v>
      </c>
      <c r="D53" s="1">
        <f t="shared" si="1"/>
        <v>4</v>
      </c>
      <c r="E53" s="5" cm="1">
        <f t="array" ref="E53">(INDEX(Stock_history!$B$1:$B$506,_xlfn.XMATCH('Indexable Inserts'!A53,Stock_history!$A$1:$A$506)))*-1/10</f>
        <v>1</v>
      </c>
      <c r="F53" s="5" cm="1">
        <f t="array" ref="F53">(INDEX(Stock_history!$C$1:$C$506,_xlfn.XMATCH('Indexable Inserts'!A53,Stock_history!$A$1:$A$506)))</f>
        <v>1</v>
      </c>
      <c r="G53" s="5" cm="1">
        <f t="array" ref="G53">(INDEX(Stock_history!$D$1:$D$506,_xlfn.XMATCH('Indexable Inserts'!A53,Stock_history!$A$1:$A$506)))*-1/10</f>
        <v>1</v>
      </c>
    </row>
    <row r="54" spans="1:7" x14ac:dyDescent="0.2">
      <c r="A54" s="2" t="s">
        <v>58</v>
      </c>
      <c r="B54" s="1" t="s">
        <v>54</v>
      </c>
      <c r="C54" s="1">
        <v>70</v>
      </c>
      <c r="D54" s="1">
        <f t="shared" si="1"/>
        <v>7</v>
      </c>
      <c r="E54" s="5" cm="1">
        <f t="array" ref="E54">(INDEX(Stock_history!$B$1:$B$506,_xlfn.XMATCH('Indexable Inserts'!A54,Stock_history!$A$1:$A$506)))*-1/10</f>
        <v>12</v>
      </c>
      <c r="F54" s="5" cm="1">
        <f t="array" ref="F54">(INDEX(Stock_history!$C$1:$C$506,_xlfn.XMATCH('Indexable Inserts'!A54,Stock_history!$A$1:$A$506)))</f>
        <v>11</v>
      </c>
      <c r="G54" s="5" cm="1">
        <f t="array" ref="G54">(INDEX(Stock_history!$D$1:$D$506,_xlfn.XMATCH('Indexable Inserts'!A54,Stock_history!$A$1:$A$506)))*-1/10</f>
        <v>1.0900000000000001</v>
      </c>
    </row>
    <row r="55" spans="1:7" x14ac:dyDescent="0.2">
      <c r="A55" s="2" t="s">
        <v>59</v>
      </c>
      <c r="B55" s="1" t="s">
        <v>60</v>
      </c>
      <c r="C55" s="1">
        <v>30</v>
      </c>
      <c r="D55" s="1">
        <f t="shared" si="1"/>
        <v>3</v>
      </c>
      <c r="E55" s="5" cm="1">
        <f t="array" ref="E55">(INDEX(Stock_history!$B$1:$B$506,_xlfn.XMATCH('Indexable Inserts'!A55,Stock_history!$A$1:$A$506)))*-1/10</f>
        <v>6</v>
      </c>
      <c r="F55" s="5" cm="1">
        <f t="array" ref="F55">(INDEX(Stock_history!$C$1:$C$506,_xlfn.XMATCH('Indexable Inserts'!A55,Stock_history!$A$1:$A$506)))</f>
        <v>5</v>
      </c>
      <c r="G55" s="5" cm="1">
        <f t="array" ref="G55">(INDEX(Stock_history!$D$1:$D$506,_xlfn.XMATCH('Indexable Inserts'!A55,Stock_history!$A$1:$A$506)))*-1/10</f>
        <v>1.2</v>
      </c>
    </row>
    <row r="56" spans="1:7" x14ac:dyDescent="0.2">
      <c r="A56" s="2" t="s">
        <v>61</v>
      </c>
      <c r="B56" s="1" t="s">
        <v>54</v>
      </c>
      <c r="C56" s="1">
        <v>80</v>
      </c>
      <c r="D56" s="1">
        <f t="shared" si="1"/>
        <v>8</v>
      </c>
      <c r="E56" s="5" cm="1">
        <f t="array" ref="E56">(INDEX(Stock_history!$B$1:$B$506,_xlfn.XMATCH('Indexable Inserts'!A56,Stock_history!$A$1:$A$506)))*-1/10</f>
        <v>20</v>
      </c>
      <c r="F56" s="5" cm="1">
        <f t="array" ref="F56">(INDEX(Stock_history!$C$1:$C$506,_xlfn.XMATCH('Indexable Inserts'!A56,Stock_history!$A$1:$A$506)))</f>
        <v>14</v>
      </c>
      <c r="G56" s="5" cm="1">
        <f t="array" ref="G56">(INDEX(Stock_history!$D$1:$D$506,_xlfn.XMATCH('Indexable Inserts'!A56,Stock_history!$A$1:$A$506)))*-1/10</f>
        <v>1.4300000000000002</v>
      </c>
    </row>
    <row r="57" spans="1:7" x14ac:dyDescent="0.2">
      <c r="A57" s="2" t="s">
        <v>62</v>
      </c>
      <c r="B57" s="1" t="s">
        <v>54</v>
      </c>
      <c r="C57" s="1">
        <v>60</v>
      </c>
      <c r="D57" s="1">
        <f t="shared" si="1"/>
        <v>6</v>
      </c>
      <c r="E57" s="5" cm="1">
        <f t="array" ref="E57">(INDEX(Stock_history!$B$1:$B$506,_xlfn.XMATCH('Indexable Inserts'!A57,Stock_history!$A$1:$A$506)))*-1/10</f>
        <v>8</v>
      </c>
      <c r="F57" s="5" cm="1">
        <f t="array" ref="F57">(INDEX(Stock_history!$C$1:$C$506,_xlfn.XMATCH('Indexable Inserts'!A57,Stock_history!$A$1:$A$506)))</f>
        <v>8</v>
      </c>
      <c r="G57" s="5" cm="1">
        <f t="array" ref="G57">(INDEX(Stock_history!$D$1:$D$506,_xlfn.XMATCH('Indexable Inserts'!A57,Stock_history!$A$1:$A$506)))*-1/10</f>
        <v>1</v>
      </c>
    </row>
    <row r="58" spans="1:7" x14ac:dyDescent="0.2">
      <c r="A58" s="2" t="s">
        <v>63</v>
      </c>
      <c r="B58" s="1" t="s">
        <v>54</v>
      </c>
      <c r="C58" s="1">
        <v>120</v>
      </c>
      <c r="D58" s="1">
        <f t="shared" si="1"/>
        <v>12</v>
      </c>
      <c r="E58" s="5" cm="1">
        <f t="array" ref="E58">(INDEX(Stock_history!$B$1:$B$506,_xlfn.XMATCH('Indexable Inserts'!A58,Stock_history!$A$1:$A$506)))*-1/10</f>
        <v>55</v>
      </c>
      <c r="F58" s="5" cm="1">
        <f t="array" ref="F58">(INDEX(Stock_history!$C$1:$C$506,_xlfn.XMATCH('Indexable Inserts'!A58,Stock_history!$A$1:$A$506)))</f>
        <v>47</v>
      </c>
      <c r="G58" s="5" cm="1">
        <f t="array" ref="G58">(INDEX(Stock_history!$D$1:$D$506,_xlfn.XMATCH('Indexable Inserts'!A58,Stock_history!$A$1:$A$506)))*-1/10</f>
        <v>1.17</v>
      </c>
    </row>
    <row r="59" spans="1:7" x14ac:dyDescent="0.2">
      <c r="A59" s="2" t="s">
        <v>64</v>
      </c>
      <c r="B59" s="1" t="s">
        <v>60</v>
      </c>
      <c r="C59" s="1">
        <v>100</v>
      </c>
      <c r="D59" s="1">
        <f t="shared" si="1"/>
        <v>10</v>
      </c>
      <c r="E59" s="5" cm="1">
        <f t="array" ref="E59">(INDEX(Stock_history!$B$1:$B$506,_xlfn.XMATCH('Indexable Inserts'!A59,Stock_history!$A$1:$A$506)))*-1/10</f>
        <v>17</v>
      </c>
      <c r="F59" s="5" cm="1">
        <f t="array" ref="F59">(INDEX(Stock_history!$C$1:$C$506,_xlfn.XMATCH('Indexable Inserts'!A59,Stock_history!$A$1:$A$506)))</f>
        <v>14</v>
      </c>
      <c r="G59" s="5" cm="1">
        <f t="array" ref="G59">(INDEX(Stock_history!$D$1:$D$506,_xlfn.XMATCH('Indexable Inserts'!A59,Stock_history!$A$1:$A$506)))*-1/10</f>
        <v>1.21</v>
      </c>
    </row>
    <row r="60" spans="1:7" x14ac:dyDescent="0.2">
      <c r="A60" s="2" t="s">
        <v>65</v>
      </c>
      <c r="B60" s="1" t="s">
        <v>54</v>
      </c>
      <c r="C60" s="1">
        <v>70</v>
      </c>
      <c r="D60" s="1">
        <f t="shared" si="1"/>
        <v>7</v>
      </c>
      <c r="E60" s="5" cm="1">
        <f t="array" ref="E60">(INDEX(Stock_history!$B$1:$B$506,_xlfn.XMATCH('Indexable Inserts'!A60,Stock_history!$A$1:$A$506)))*-1/10</f>
        <v>11</v>
      </c>
      <c r="F60" s="5" cm="1">
        <f t="array" ref="F60">(INDEX(Stock_history!$C$1:$C$506,_xlfn.XMATCH('Indexable Inserts'!A60,Stock_history!$A$1:$A$506)))</f>
        <v>10</v>
      </c>
      <c r="G60" s="5" cm="1">
        <f t="array" ref="G60">(INDEX(Stock_history!$D$1:$D$506,_xlfn.XMATCH('Indexable Inserts'!A60,Stock_history!$A$1:$A$506)))*-1/10</f>
        <v>1.1000000000000001</v>
      </c>
    </row>
    <row r="61" spans="1:7" x14ac:dyDescent="0.2">
      <c r="A61" s="2" t="s">
        <v>66</v>
      </c>
      <c r="B61" s="1" t="s">
        <v>54</v>
      </c>
      <c r="C61" s="1">
        <v>30</v>
      </c>
      <c r="D61" s="1">
        <f t="shared" si="1"/>
        <v>3</v>
      </c>
      <c r="E61" s="5" cm="1">
        <f t="array" ref="E61">(INDEX(Stock_history!$B$1:$B$506,_xlfn.XMATCH('Indexable Inserts'!A61,Stock_history!$A$1:$A$506)))*-1/10</f>
        <v>6</v>
      </c>
      <c r="F61" s="5" cm="1">
        <f t="array" ref="F61">(INDEX(Stock_history!$C$1:$C$506,_xlfn.XMATCH('Indexable Inserts'!A61,Stock_history!$A$1:$A$506)))</f>
        <v>6</v>
      </c>
      <c r="G61" s="5" cm="1">
        <f t="array" ref="G61">(INDEX(Stock_history!$D$1:$D$506,_xlfn.XMATCH('Indexable Inserts'!A61,Stock_history!$A$1:$A$506)))*-1/10</f>
        <v>1</v>
      </c>
    </row>
    <row r="62" spans="1:7" x14ac:dyDescent="0.2">
      <c r="A62" s="2" t="s">
        <v>67</v>
      </c>
      <c r="B62" s="1" t="s">
        <v>54</v>
      </c>
      <c r="C62" s="1">
        <v>30</v>
      </c>
      <c r="D62" s="1">
        <f t="shared" si="1"/>
        <v>3</v>
      </c>
      <c r="E62" s="5" cm="1">
        <f t="array" ref="E62">(INDEX(Stock_history!$B$1:$B$506,_xlfn.XMATCH('Indexable Inserts'!A62,Stock_history!$A$1:$A$506)))*-1/10</f>
        <v>2</v>
      </c>
      <c r="F62" s="5" cm="1">
        <f t="array" ref="F62">(INDEX(Stock_history!$C$1:$C$506,_xlfn.XMATCH('Indexable Inserts'!A62,Stock_history!$A$1:$A$506)))</f>
        <v>2</v>
      </c>
      <c r="G62" s="5" cm="1">
        <f t="array" ref="G62">(INDEX(Stock_history!$D$1:$D$506,_xlfn.XMATCH('Indexable Inserts'!A62,Stock_history!$A$1:$A$506)))*-1/10</f>
        <v>1</v>
      </c>
    </row>
    <row r="63" spans="1:7" x14ac:dyDescent="0.2">
      <c r="A63" s="2" t="s">
        <v>68</v>
      </c>
      <c r="B63" s="1" t="s">
        <v>54</v>
      </c>
      <c r="C63" s="1">
        <v>90</v>
      </c>
      <c r="D63" s="1">
        <f t="shared" si="1"/>
        <v>9</v>
      </c>
      <c r="E63" s="5" cm="1">
        <f t="array" ref="E63">(INDEX(Stock_history!$B$1:$B$506,_xlfn.XMATCH('Indexable Inserts'!A63,Stock_history!$A$1:$A$506)))*-1/10</f>
        <v>12</v>
      </c>
      <c r="F63" s="5" cm="1">
        <f t="array" ref="F63">(INDEX(Stock_history!$C$1:$C$506,_xlfn.XMATCH('Indexable Inserts'!A63,Stock_history!$A$1:$A$506)))</f>
        <v>8</v>
      </c>
      <c r="G63" s="5" cm="1">
        <f t="array" ref="G63">(INDEX(Stock_history!$D$1:$D$506,_xlfn.XMATCH('Indexable Inserts'!A63,Stock_history!$A$1:$A$506)))*-1/10</f>
        <v>1.5</v>
      </c>
    </row>
    <row r="64" spans="1:7" x14ac:dyDescent="0.2">
      <c r="A64" s="2" t="s">
        <v>69</v>
      </c>
      <c r="B64" s="1" t="s">
        <v>54</v>
      </c>
      <c r="C64" s="1">
        <v>30</v>
      </c>
      <c r="D64" s="1">
        <f t="shared" si="1"/>
        <v>3</v>
      </c>
      <c r="E64" s="5" cm="1">
        <f t="array" ref="E64">(INDEX(Stock_history!$B$1:$B$506,_xlfn.XMATCH('Indexable Inserts'!A64,Stock_history!$A$1:$A$506)))*-1/10</f>
        <v>1</v>
      </c>
      <c r="F64" s="5" cm="1">
        <f t="array" ref="F64">(INDEX(Stock_history!$C$1:$C$506,_xlfn.XMATCH('Indexable Inserts'!A64,Stock_history!$A$1:$A$506)))</f>
        <v>1</v>
      </c>
      <c r="G64" s="5" cm="1">
        <f t="array" ref="G64">(INDEX(Stock_history!$D$1:$D$506,_xlfn.XMATCH('Indexable Inserts'!A64,Stock_history!$A$1:$A$506)))*-1/10</f>
        <v>1</v>
      </c>
    </row>
    <row r="65" spans="1:7" x14ac:dyDescent="0.2">
      <c r="A65" s="2" t="s">
        <v>70</v>
      </c>
      <c r="B65" s="1" t="s">
        <v>60</v>
      </c>
      <c r="C65" s="1">
        <v>100</v>
      </c>
      <c r="D65" s="1">
        <f t="shared" si="1"/>
        <v>10</v>
      </c>
      <c r="E65" s="5" cm="1">
        <f t="array" ref="E65">(INDEX(Stock_history!$B$1:$B$506,_xlfn.XMATCH('Indexable Inserts'!A65,Stock_history!$A$1:$A$506)))*-1/10</f>
        <v>25</v>
      </c>
      <c r="F65" s="5" cm="1">
        <f t="array" ref="F65">(INDEX(Stock_history!$C$1:$C$506,_xlfn.XMATCH('Indexable Inserts'!A65,Stock_history!$A$1:$A$506)))</f>
        <v>21</v>
      </c>
      <c r="G65" s="5" cm="1">
        <f t="array" ref="G65">(INDEX(Stock_history!$D$1:$D$506,_xlfn.XMATCH('Indexable Inserts'!A65,Stock_history!$A$1:$A$506)))*-1/10</f>
        <v>1.19</v>
      </c>
    </row>
    <row r="66" spans="1:7" x14ac:dyDescent="0.2">
      <c r="A66" s="2" t="s">
        <v>71</v>
      </c>
      <c r="B66" s="1" t="s">
        <v>54</v>
      </c>
      <c r="C66" s="1">
        <v>40</v>
      </c>
      <c r="D66" s="1">
        <f t="shared" ref="D66:D75" si="2">C66/10</f>
        <v>4</v>
      </c>
      <c r="E66" s="5" cm="1">
        <f t="array" ref="E66">(INDEX(Stock_history!$B$1:$B$506,_xlfn.XMATCH('Indexable Inserts'!A66,Stock_history!$A$1:$A$506)))*-1/10</f>
        <v>5</v>
      </c>
      <c r="F66" s="5" cm="1">
        <f t="array" ref="F66">(INDEX(Stock_history!$C$1:$C$506,_xlfn.XMATCH('Indexable Inserts'!A66,Stock_history!$A$1:$A$506)))</f>
        <v>5</v>
      </c>
      <c r="G66" s="5" cm="1">
        <f t="array" ref="G66">(INDEX(Stock_history!$D$1:$D$506,_xlfn.XMATCH('Indexable Inserts'!A66,Stock_history!$A$1:$A$506)))*-1/10</f>
        <v>1</v>
      </c>
    </row>
    <row r="67" spans="1:7" x14ac:dyDescent="0.2">
      <c r="A67" s="2" t="s">
        <v>72</v>
      </c>
      <c r="B67" s="1" t="s">
        <v>73</v>
      </c>
      <c r="C67" s="1">
        <v>50</v>
      </c>
      <c r="D67" s="1">
        <f t="shared" si="2"/>
        <v>5</v>
      </c>
      <c r="E67" s="5" cm="1">
        <f t="array" ref="E67">(INDEX(Stock_history!$B$1:$B$506,_xlfn.XMATCH('Indexable Inserts'!A67,Stock_history!$A$1:$A$506)))*-1/10</f>
        <v>11.9</v>
      </c>
      <c r="F67" s="5" cm="1">
        <f t="array" ref="F67">(INDEX(Stock_history!$C$1:$C$506,_xlfn.XMATCH('Indexable Inserts'!A67,Stock_history!$A$1:$A$506)))</f>
        <v>10</v>
      </c>
      <c r="G67" s="5" cm="1">
        <f t="array" ref="G67">(INDEX(Stock_history!$D$1:$D$506,_xlfn.XMATCH('Indexable Inserts'!A67,Stock_history!$A$1:$A$506)))*-1/10</f>
        <v>1.19</v>
      </c>
    </row>
    <row r="68" spans="1:7" x14ac:dyDescent="0.2">
      <c r="A68" s="2" t="s">
        <v>74</v>
      </c>
      <c r="B68" s="1" t="s">
        <v>30</v>
      </c>
      <c r="C68" s="1">
        <v>10</v>
      </c>
      <c r="D68" s="1">
        <f t="shared" si="2"/>
        <v>1</v>
      </c>
      <c r="E68" s="5" t="e" cm="1">
        <f t="array" ref="E68">(INDEX(Stock_history!$B$1:$B$506,_xlfn.XMATCH('Indexable Inserts'!A68,Stock_history!$A$1:$A$506)))*-1/10</f>
        <v>#N/A</v>
      </c>
      <c r="F68" s="5" t="e" cm="1">
        <f t="array" ref="F68">(INDEX(Stock_history!$C$1:$C$506,_xlfn.XMATCH('Indexable Inserts'!A68,Stock_history!$A$1:$A$506)))</f>
        <v>#N/A</v>
      </c>
      <c r="G68" s="5" t="e" cm="1">
        <f t="array" ref="G68">(INDEX(Stock_history!$D$1:$D$506,_xlfn.XMATCH('Indexable Inserts'!A68,Stock_history!$A$1:$A$506)))*-1/10</f>
        <v>#N/A</v>
      </c>
    </row>
    <row r="69" spans="1:7" x14ac:dyDescent="0.2">
      <c r="A69" s="2" t="s">
        <v>75</v>
      </c>
      <c r="B69" s="1" t="s">
        <v>60</v>
      </c>
      <c r="C69" s="1">
        <v>30</v>
      </c>
      <c r="D69" s="1">
        <f t="shared" si="2"/>
        <v>3</v>
      </c>
      <c r="E69" s="5" cm="1">
        <f t="array" ref="E69">(INDEX(Stock_history!$B$1:$B$506,_xlfn.XMATCH('Indexable Inserts'!A69,Stock_history!$A$1:$A$506)))*-1/10</f>
        <v>5</v>
      </c>
      <c r="F69" s="5" cm="1">
        <f t="array" ref="F69">(INDEX(Stock_history!$C$1:$C$506,_xlfn.XMATCH('Indexable Inserts'!A69,Stock_history!$A$1:$A$506)))</f>
        <v>3</v>
      </c>
      <c r="G69" s="5" cm="1">
        <f t="array" ref="G69">(INDEX(Stock_history!$D$1:$D$506,_xlfn.XMATCH('Indexable Inserts'!A69,Stock_history!$A$1:$A$506)))*-1/10</f>
        <v>1.67</v>
      </c>
    </row>
    <row r="70" spans="1:7" x14ac:dyDescent="0.2">
      <c r="A70" s="2" t="s">
        <v>76</v>
      </c>
      <c r="B70" s="1" t="s">
        <v>60</v>
      </c>
      <c r="C70" s="1">
        <v>70</v>
      </c>
      <c r="D70" s="1">
        <f t="shared" si="2"/>
        <v>7</v>
      </c>
      <c r="E70" s="5" cm="1">
        <f t="array" ref="E70">(INDEX(Stock_history!$B$1:$B$506,_xlfn.XMATCH('Indexable Inserts'!A70,Stock_history!$A$1:$A$506)))*-1/10</f>
        <v>12</v>
      </c>
      <c r="F70" s="5" cm="1">
        <f t="array" ref="F70">(INDEX(Stock_history!$C$1:$C$506,_xlfn.XMATCH('Indexable Inserts'!A70,Stock_history!$A$1:$A$506)))</f>
        <v>7</v>
      </c>
      <c r="G70" s="5" cm="1">
        <f t="array" ref="G70">(INDEX(Stock_history!$D$1:$D$506,_xlfn.XMATCH('Indexable Inserts'!A70,Stock_history!$A$1:$A$506)))*-1/10</f>
        <v>1.7100000000000002</v>
      </c>
    </row>
    <row r="71" spans="1:7" x14ac:dyDescent="0.2">
      <c r="A71" s="2" t="s">
        <v>77</v>
      </c>
      <c r="B71" s="1" t="s">
        <v>54</v>
      </c>
      <c r="C71" s="1">
        <v>30</v>
      </c>
      <c r="D71" s="1">
        <f t="shared" si="2"/>
        <v>3</v>
      </c>
      <c r="E71" s="5" cm="1">
        <f t="array" ref="E71">(INDEX(Stock_history!$B$1:$B$506,_xlfn.XMATCH('Indexable Inserts'!A71,Stock_history!$A$1:$A$506)))*-1/10</f>
        <v>2</v>
      </c>
      <c r="F71" s="5" cm="1">
        <f t="array" ref="F71">(INDEX(Stock_history!$C$1:$C$506,_xlfn.XMATCH('Indexable Inserts'!A71,Stock_history!$A$1:$A$506)))</f>
        <v>2</v>
      </c>
      <c r="G71" s="5" cm="1">
        <f t="array" ref="G71">(INDEX(Stock_history!$D$1:$D$506,_xlfn.XMATCH('Indexable Inserts'!A71,Stock_history!$A$1:$A$506)))*-1/10</f>
        <v>1</v>
      </c>
    </row>
    <row r="72" spans="1:7" x14ac:dyDescent="0.2">
      <c r="A72" s="2" t="s">
        <v>78</v>
      </c>
      <c r="B72" s="1" t="s">
        <v>79</v>
      </c>
      <c r="C72" s="1">
        <v>70</v>
      </c>
      <c r="D72" s="1">
        <f t="shared" si="2"/>
        <v>7</v>
      </c>
      <c r="E72" s="5" cm="1">
        <f t="array" ref="E72">(INDEX(Stock_history!$B$1:$B$506,_xlfn.XMATCH('Indexable Inserts'!A72,Stock_history!$A$1:$A$506)))*-1/10</f>
        <v>20</v>
      </c>
      <c r="F72" s="5" cm="1">
        <f t="array" ref="F72">(INDEX(Stock_history!$C$1:$C$506,_xlfn.XMATCH('Indexable Inserts'!A72,Stock_history!$A$1:$A$506)))</f>
        <v>14</v>
      </c>
      <c r="G72" s="5" cm="1">
        <f t="array" ref="G72">(INDEX(Stock_history!$D$1:$D$506,_xlfn.XMATCH('Indexable Inserts'!A72,Stock_history!$A$1:$A$506)))*-1/10</f>
        <v>1.4300000000000002</v>
      </c>
    </row>
    <row r="73" spans="1:7" x14ac:dyDescent="0.2">
      <c r="A73" s="2" t="s">
        <v>80</v>
      </c>
      <c r="B73" s="1" t="s">
        <v>81</v>
      </c>
      <c r="C73" s="1">
        <v>70</v>
      </c>
      <c r="D73" s="1">
        <f t="shared" si="2"/>
        <v>7</v>
      </c>
      <c r="E73" s="5" cm="1">
        <f t="array" ref="E73">(INDEX(Stock_history!$B$1:$B$506,_xlfn.XMATCH('Indexable Inserts'!A73,Stock_history!$A$1:$A$506)))*-1/10</f>
        <v>8</v>
      </c>
      <c r="F73" s="5" cm="1">
        <f t="array" ref="F73">(INDEX(Stock_history!$C$1:$C$506,_xlfn.XMATCH('Indexable Inserts'!A73,Stock_history!$A$1:$A$506)))</f>
        <v>7</v>
      </c>
      <c r="G73" s="5" cm="1">
        <f t="array" ref="G73">(INDEX(Stock_history!$D$1:$D$506,_xlfn.XMATCH('Indexable Inserts'!A73,Stock_history!$A$1:$A$506)))*-1/10</f>
        <v>1.1400000000000001</v>
      </c>
    </row>
    <row r="74" spans="1:7" x14ac:dyDescent="0.2">
      <c r="A74" s="2" t="s">
        <v>82</v>
      </c>
      <c r="B74" s="1" t="s">
        <v>83</v>
      </c>
      <c r="C74" s="1">
        <v>50</v>
      </c>
      <c r="D74" s="1">
        <f t="shared" si="2"/>
        <v>5</v>
      </c>
      <c r="E74" s="5" cm="1">
        <f t="array" ref="E74">(INDEX(Stock_history!$B$1:$B$506,_xlfn.XMATCH('Indexable Inserts'!A74,Stock_history!$A$1:$A$506)))*-1/10</f>
        <v>13</v>
      </c>
      <c r="F74" s="5" cm="1">
        <f t="array" ref="F74">(INDEX(Stock_history!$C$1:$C$506,_xlfn.XMATCH('Indexable Inserts'!A74,Stock_history!$A$1:$A$506)))</f>
        <v>9</v>
      </c>
      <c r="G74" s="5" cm="1">
        <f t="array" ref="G74">(INDEX(Stock_history!$D$1:$D$506,_xlfn.XMATCH('Indexable Inserts'!A74,Stock_history!$A$1:$A$506)))*-1/10</f>
        <v>1.44</v>
      </c>
    </row>
    <row r="75" spans="1:7" x14ac:dyDescent="0.2">
      <c r="A75" s="2" t="s">
        <v>84</v>
      </c>
      <c r="B75" s="1" t="s">
        <v>39</v>
      </c>
      <c r="C75" s="1">
        <v>70</v>
      </c>
      <c r="D75" s="1">
        <f t="shared" si="2"/>
        <v>7</v>
      </c>
      <c r="E75" s="5" cm="1">
        <f t="array" ref="E75">(INDEX(Stock_history!$B$1:$B$506,_xlfn.XMATCH('Indexable Inserts'!A75,Stock_history!$A$1:$A$506)))*-1/10</f>
        <v>14</v>
      </c>
      <c r="F75" s="5" cm="1">
        <f t="array" ref="F75">(INDEX(Stock_history!$C$1:$C$506,_xlfn.XMATCH('Indexable Inserts'!A75,Stock_history!$A$1:$A$506)))</f>
        <v>11</v>
      </c>
      <c r="G75" s="5" cm="1">
        <f t="array" ref="G75">(INDEX(Stock_history!$D$1:$D$506,_xlfn.XMATCH('Indexable Inserts'!A75,Stock_history!$A$1:$A$506)))*-1/10</f>
        <v>1.27</v>
      </c>
    </row>
    <row r="76" spans="1:7" x14ac:dyDescent="0.2">
      <c r="A76" s="2" t="s">
        <v>85</v>
      </c>
      <c r="B76" s="1" t="s">
        <v>86</v>
      </c>
      <c r="C76" s="1">
        <v>40</v>
      </c>
      <c r="D76" s="1">
        <f>C76/5</f>
        <v>8</v>
      </c>
      <c r="E76" s="5" cm="1">
        <f t="array" ref="E76">(INDEX(Stock_history!$B$1:$B$506,_xlfn.XMATCH('Indexable Inserts'!A76,Stock_history!$A$1:$A$506)))*-1/5</f>
        <v>3</v>
      </c>
      <c r="F76" s="5" cm="1">
        <f t="array" ref="F76">(INDEX(Stock_history!$C$1:$C$506,_xlfn.XMATCH('Indexable Inserts'!A76,Stock_history!$A$1:$A$506)))</f>
        <v>2</v>
      </c>
      <c r="G76" s="5" cm="1">
        <f t="array" ref="G76">(INDEX(Stock_history!$D$1:$D$506,_xlfn.XMATCH('Indexable Inserts'!A76,Stock_history!$A$1:$A$506)))*-1/5</f>
        <v>1.5</v>
      </c>
    </row>
    <row r="77" spans="1:7" x14ac:dyDescent="0.2">
      <c r="A77" s="2" t="s">
        <v>87</v>
      </c>
      <c r="B77" s="1" t="s">
        <v>39</v>
      </c>
      <c r="C77" s="1">
        <v>40</v>
      </c>
      <c r="D77" s="1">
        <f>C77/10</f>
        <v>4</v>
      </c>
      <c r="E77" s="5" cm="1">
        <f t="array" ref="E77">(INDEX(Stock_history!$B$1:$B$506,_xlfn.XMATCH('Indexable Inserts'!A77,Stock_history!$A$1:$A$506)))*-1/10</f>
        <v>5</v>
      </c>
      <c r="F77" s="5" cm="1">
        <f t="array" ref="F77">(INDEX(Stock_history!$C$1:$C$506,_xlfn.XMATCH('Indexable Inserts'!A77,Stock_history!$A$1:$A$506)))</f>
        <v>5</v>
      </c>
      <c r="G77" s="5" cm="1">
        <f t="array" ref="G77">(INDEX(Stock_history!$D$1:$D$506,_xlfn.XMATCH('Indexable Inserts'!A77,Stock_history!$A$1:$A$506)))*-1/10</f>
        <v>1</v>
      </c>
    </row>
    <row r="78" spans="1:7" x14ac:dyDescent="0.2">
      <c r="A78" s="2" t="s">
        <v>88</v>
      </c>
      <c r="B78" s="1" t="s">
        <v>39</v>
      </c>
      <c r="C78" s="1">
        <v>30</v>
      </c>
      <c r="D78" s="1">
        <f>C78/10</f>
        <v>3</v>
      </c>
      <c r="E78" s="5" cm="1">
        <f t="array" ref="E78">(INDEX(Stock_history!$B$1:$B$506,_xlfn.XMATCH('Indexable Inserts'!A78,Stock_history!$A$1:$A$506)))*-1/10</f>
        <v>3.1</v>
      </c>
      <c r="F78" s="5" cm="1">
        <f t="array" ref="F78">(INDEX(Stock_history!$C$1:$C$506,_xlfn.XMATCH('Indexable Inserts'!A78,Stock_history!$A$1:$A$506)))</f>
        <v>4</v>
      </c>
      <c r="G78" s="5" cm="1">
        <f t="array" ref="G78">(INDEX(Stock_history!$D$1:$D$506,_xlfn.XMATCH('Indexable Inserts'!A78,Stock_history!$A$1:$A$506)))*-1/10</f>
        <v>0.78</v>
      </c>
    </row>
    <row r="79" spans="1:7" x14ac:dyDescent="0.2">
      <c r="A79" s="2" t="s">
        <v>89</v>
      </c>
      <c r="B79" s="1" t="s">
        <v>60</v>
      </c>
      <c r="C79" s="1">
        <v>70</v>
      </c>
      <c r="D79" s="1">
        <f>C79/10</f>
        <v>7</v>
      </c>
      <c r="E79" s="5" cm="1">
        <f t="array" ref="E79">(INDEX(Stock_history!$B$1:$B$506,_xlfn.XMATCH('Indexable Inserts'!A79,Stock_history!$A$1:$A$506)))*-1/10</f>
        <v>14</v>
      </c>
      <c r="F79" s="5" cm="1">
        <f t="array" ref="F79">(INDEX(Stock_history!$C$1:$C$506,_xlfn.XMATCH('Indexable Inserts'!A79,Stock_history!$A$1:$A$506)))</f>
        <v>11</v>
      </c>
      <c r="G79" s="5" cm="1">
        <f t="array" ref="G79">(INDEX(Stock_history!$D$1:$D$506,_xlfn.XMATCH('Indexable Inserts'!A79,Stock_history!$A$1:$A$506)))*-1/10</f>
        <v>1.27</v>
      </c>
    </row>
    <row r="80" spans="1:7" x14ac:dyDescent="0.2">
      <c r="A80" s="2" t="s">
        <v>90</v>
      </c>
      <c r="B80" s="1" t="s">
        <v>86</v>
      </c>
      <c r="C80" s="1">
        <v>60</v>
      </c>
      <c r="D80" s="1">
        <f>C80/5</f>
        <v>12</v>
      </c>
      <c r="E80" s="5" cm="1">
        <f t="array" ref="E80">(INDEX(Stock_history!$B$1:$B$506,_xlfn.XMATCH('Indexable Inserts'!A80,Stock_history!$A$1:$A$506)))*-1/5</f>
        <v>8</v>
      </c>
      <c r="F80" s="5" cm="1">
        <f t="array" ref="F80">(INDEX(Stock_history!$C$1:$C$506,_xlfn.XMATCH('Indexable Inserts'!A80,Stock_history!$A$1:$A$506)))</f>
        <v>5</v>
      </c>
      <c r="G80" s="5" cm="1">
        <f t="array" ref="G80">(INDEX(Stock_history!$D$1:$D$506,_xlfn.XMATCH('Indexable Inserts'!A80,Stock_history!$A$1:$A$506)))*-1/5</f>
        <v>1.6</v>
      </c>
    </row>
    <row r="81" spans="1:7" x14ac:dyDescent="0.2">
      <c r="A81" s="2" t="s">
        <v>91</v>
      </c>
      <c r="B81" s="1" t="s">
        <v>60</v>
      </c>
      <c r="C81" s="1">
        <v>110</v>
      </c>
      <c r="D81" s="1">
        <f>C81/10</f>
        <v>11</v>
      </c>
      <c r="E81" s="5" cm="1">
        <f t="array" ref="E81">(INDEX(Stock_history!$B$1:$B$506,_xlfn.XMATCH('Indexable Inserts'!A81,Stock_history!$A$1:$A$506)))*-1/10</f>
        <v>44</v>
      </c>
      <c r="F81" s="5" cm="1">
        <f t="array" ref="F81">(INDEX(Stock_history!$C$1:$C$506,_xlfn.XMATCH('Indexable Inserts'!A81,Stock_history!$A$1:$A$506)))</f>
        <v>39</v>
      </c>
      <c r="G81" s="5" cm="1">
        <f t="array" ref="G81">(INDEX(Stock_history!$D$1:$D$506,_xlfn.XMATCH('Indexable Inserts'!A81,Stock_history!$A$1:$A$506)))*-1/10</f>
        <v>1.1300000000000001</v>
      </c>
    </row>
    <row r="82" spans="1:7" x14ac:dyDescent="0.2">
      <c r="A82" s="2" t="s">
        <v>92</v>
      </c>
      <c r="B82" s="1" t="s">
        <v>60</v>
      </c>
      <c r="C82" s="1">
        <v>60</v>
      </c>
      <c r="D82" s="1">
        <f>C82/10</f>
        <v>6</v>
      </c>
      <c r="E82" s="5" cm="1">
        <f t="array" ref="E82">(INDEX(Stock_history!$B$1:$B$506,_xlfn.XMATCH('Indexable Inserts'!A82,Stock_history!$A$1:$A$506)))*-1/10</f>
        <v>7</v>
      </c>
      <c r="F82" s="5" cm="1">
        <f t="array" ref="F82">(INDEX(Stock_history!$C$1:$C$506,_xlfn.XMATCH('Indexable Inserts'!A82,Stock_history!$A$1:$A$506)))</f>
        <v>6</v>
      </c>
      <c r="G82" s="5" cm="1">
        <f t="array" ref="G82">(INDEX(Stock_history!$D$1:$D$506,_xlfn.XMATCH('Indexable Inserts'!A82,Stock_history!$A$1:$A$506)))*-1/10</f>
        <v>1.17</v>
      </c>
    </row>
    <row r="83" spans="1:7" x14ac:dyDescent="0.2">
      <c r="A83" s="2" t="s">
        <v>93</v>
      </c>
      <c r="B83" s="1" t="s">
        <v>60</v>
      </c>
      <c r="C83" s="1">
        <v>70</v>
      </c>
      <c r="D83" s="1">
        <f>C83/10</f>
        <v>7</v>
      </c>
      <c r="E83" s="5" cm="1">
        <f t="array" ref="E83">(INDEX(Stock_history!$B$1:$B$506,_xlfn.XMATCH('Indexable Inserts'!A83,Stock_history!$A$1:$A$506)))*-1/10</f>
        <v>11</v>
      </c>
      <c r="F83" s="5" cm="1">
        <f t="array" ref="F83">(INDEX(Stock_history!$C$1:$C$506,_xlfn.XMATCH('Indexable Inserts'!A83,Stock_history!$A$1:$A$506)))</f>
        <v>9</v>
      </c>
      <c r="G83" s="5" cm="1">
        <f t="array" ref="G83">(INDEX(Stock_history!$D$1:$D$506,_xlfn.XMATCH('Indexable Inserts'!A83,Stock_history!$A$1:$A$506)))*-1/10</f>
        <v>1.22</v>
      </c>
    </row>
    <row r="84" spans="1:7" x14ac:dyDescent="0.2">
      <c r="A84" s="2" t="s">
        <v>94</v>
      </c>
      <c r="B84" s="1" t="s">
        <v>86</v>
      </c>
      <c r="C84" s="1">
        <v>40</v>
      </c>
      <c r="D84" s="1">
        <f>C84/5</f>
        <v>8</v>
      </c>
      <c r="E84" s="5" cm="1">
        <f t="array" ref="E84">(INDEX(Stock_history!$B$1:$B$506,_xlfn.XMATCH('Indexable Inserts'!A84,Stock_history!$A$1:$A$506)))*-1/5</f>
        <v>12</v>
      </c>
      <c r="F84" s="5" cm="1">
        <f t="array" ref="F84">(INDEX(Stock_history!$C$1:$C$506,_xlfn.XMATCH('Indexable Inserts'!A84,Stock_history!$A$1:$A$506)))</f>
        <v>8</v>
      </c>
      <c r="G84" s="5" cm="1">
        <f t="array" ref="G84">(INDEX(Stock_history!$D$1:$D$506,_xlfn.XMATCH('Indexable Inserts'!A84,Stock_history!$A$1:$A$506)))*-1/5</f>
        <v>1.5</v>
      </c>
    </row>
    <row r="85" spans="1:7" x14ac:dyDescent="0.2">
      <c r="A85" s="2" t="s">
        <v>95</v>
      </c>
      <c r="B85" s="1" t="s">
        <v>96</v>
      </c>
      <c r="C85" s="1">
        <v>300</v>
      </c>
      <c r="D85" s="1">
        <f>C85/10</f>
        <v>30</v>
      </c>
      <c r="E85" s="5" cm="1">
        <f t="array" ref="E85">(INDEX(Stock_history!$B$1:$B$506,_xlfn.XMATCH('Indexable Inserts'!A85,Stock_history!$A$1:$A$506)))*-1/10</f>
        <v>55</v>
      </c>
      <c r="F85" s="5" cm="1">
        <f t="array" ref="F85">(INDEX(Stock_history!$C$1:$C$506,_xlfn.XMATCH('Indexable Inserts'!A85,Stock_history!$A$1:$A$506)))</f>
        <v>34</v>
      </c>
      <c r="G85" s="5" cm="1">
        <f t="array" ref="G85">(INDEX(Stock_history!$D$1:$D$506,_xlfn.XMATCH('Indexable Inserts'!A85,Stock_history!$A$1:$A$506)))*-1/10</f>
        <v>1.6199999999999999</v>
      </c>
    </row>
    <row r="86" spans="1:7" x14ac:dyDescent="0.2">
      <c r="A86" s="2" t="s">
        <v>97</v>
      </c>
      <c r="B86" s="1" t="s">
        <v>86</v>
      </c>
      <c r="C86" s="1">
        <v>40</v>
      </c>
      <c r="D86" s="1">
        <f>C86/5</f>
        <v>8</v>
      </c>
      <c r="E86" s="5" cm="1">
        <f t="array" ref="E86">(INDEX(Stock_history!$B$1:$B$506,_xlfn.XMATCH('Indexable Inserts'!A86,Stock_history!$A$1:$A$506)))*-1/5</f>
        <v>8</v>
      </c>
      <c r="F86" s="5" cm="1">
        <f t="array" ref="F86">(INDEX(Stock_history!$C$1:$C$506,_xlfn.XMATCH('Indexable Inserts'!A86,Stock_history!$A$1:$A$506)))</f>
        <v>6</v>
      </c>
      <c r="G86" s="5" cm="1">
        <f t="array" ref="G86">(INDEX(Stock_history!$D$1:$D$506,_xlfn.XMATCH('Indexable Inserts'!A86,Stock_history!$A$1:$A$506)))*-1/5</f>
        <v>1.34</v>
      </c>
    </row>
    <row r="87" spans="1:7" x14ac:dyDescent="0.2">
      <c r="A87" s="2" t="s">
        <v>98</v>
      </c>
      <c r="B87" s="1" t="s">
        <v>86</v>
      </c>
      <c r="C87" s="1">
        <v>40</v>
      </c>
      <c r="D87" s="1">
        <f>C87/5</f>
        <v>8</v>
      </c>
      <c r="E87" s="5" cm="1">
        <f t="array" ref="E87">(INDEX(Stock_history!$B$1:$B$506,_xlfn.XMATCH('Indexable Inserts'!A87,Stock_history!$A$1:$A$506)))*-1/5</f>
        <v>7</v>
      </c>
      <c r="F87" s="5" cm="1">
        <f t="array" ref="F87">(INDEX(Stock_history!$C$1:$C$506,_xlfn.XMATCH('Indexable Inserts'!A87,Stock_history!$A$1:$A$506)))</f>
        <v>5</v>
      </c>
      <c r="G87" s="5" cm="1">
        <f t="array" ref="G87">(INDEX(Stock_history!$D$1:$D$506,_xlfn.XMATCH('Indexable Inserts'!A87,Stock_history!$A$1:$A$506)))*-1/5</f>
        <v>1.4</v>
      </c>
    </row>
    <row r="88" spans="1:7" x14ac:dyDescent="0.2">
      <c r="A88" s="2" t="s">
        <v>99</v>
      </c>
      <c r="B88" s="1" t="s">
        <v>60</v>
      </c>
      <c r="C88" s="1">
        <v>110</v>
      </c>
      <c r="D88" s="1">
        <f t="shared" ref="D88:D93" si="3">C88/10</f>
        <v>11</v>
      </c>
      <c r="E88" s="5" cm="1">
        <f t="array" ref="E88">(INDEX(Stock_history!$B$1:$B$506,_xlfn.XMATCH('Indexable Inserts'!A88,Stock_history!$A$1:$A$506)))*-1/10</f>
        <v>50</v>
      </c>
      <c r="F88" s="5" cm="1">
        <f t="array" ref="F88">(INDEX(Stock_history!$C$1:$C$506,_xlfn.XMATCH('Indexable Inserts'!A88,Stock_history!$A$1:$A$506)))</f>
        <v>41</v>
      </c>
      <c r="G88" s="5" cm="1">
        <f t="array" ref="G88">(INDEX(Stock_history!$D$1:$D$506,_xlfn.XMATCH('Indexable Inserts'!A88,Stock_history!$A$1:$A$506)))*-1/10</f>
        <v>1.22</v>
      </c>
    </row>
    <row r="89" spans="1:7" x14ac:dyDescent="0.2">
      <c r="A89" s="2" t="s">
        <v>100</v>
      </c>
      <c r="B89" s="1" t="s">
        <v>79</v>
      </c>
      <c r="C89" s="1">
        <v>50</v>
      </c>
      <c r="D89" s="1">
        <f t="shared" si="3"/>
        <v>5</v>
      </c>
      <c r="E89" s="5" cm="1">
        <f t="array" ref="E89">(INDEX(Stock_history!$B$1:$B$506,_xlfn.XMATCH('Indexable Inserts'!A89,Stock_history!$A$1:$A$506)))*-1/10</f>
        <v>6</v>
      </c>
      <c r="F89" s="5" cm="1">
        <f t="array" ref="F89">(INDEX(Stock_history!$C$1:$C$506,_xlfn.XMATCH('Indexable Inserts'!A89,Stock_history!$A$1:$A$506)))</f>
        <v>5</v>
      </c>
      <c r="G89" s="5" cm="1">
        <f t="array" ref="G89">(INDEX(Stock_history!$D$1:$D$506,_xlfn.XMATCH('Indexable Inserts'!A89,Stock_history!$A$1:$A$506)))*-1/10</f>
        <v>1.2</v>
      </c>
    </row>
    <row r="90" spans="1:7" x14ac:dyDescent="0.2">
      <c r="A90" s="2" t="s">
        <v>101</v>
      </c>
      <c r="B90" s="1" t="s">
        <v>79</v>
      </c>
      <c r="C90" s="1">
        <v>60</v>
      </c>
      <c r="D90" s="1">
        <f t="shared" si="3"/>
        <v>6</v>
      </c>
      <c r="E90" s="5" cm="1">
        <f t="array" ref="E90">(INDEX(Stock_history!$B$1:$B$506,_xlfn.XMATCH('Indexable Inserts'!A90,Stock_history!$A$1:$A$506)))*-1/10</f>
        <v>7</v>
      </c>
      <c r="F90" s="5" cm="1">
        <f t="array" ref="F90">(INDEX(Stock_history!$C$1:$C$506,_xlfn.XMATCH('Indexable Inserts'!A90,Stock_history!$A$1:$A$506)))</f>
        <v>5</v>
      </c>
      <c r="G90" s="5" cm="1">
        <f t="array" ref="G90">(INDEX(Stock_history!$D$1:$D$506,_xlfn.XMATCH('Indexable Inserts'!A90,Stock_history!$A$1:$A$506)))*-1/10</f>
        <v>1.4</v>
      </c>
    </row>
    <row r="91" spans="1:7" x14ac:dyDescent="0.2">
      <c r="A91" s="2" t="s">
        <v>102</v>
      </c>
      <c r="B91" s="1" t="s">
        <v>79</v>
      </c>
      <c r="C91" s="1">
        <v>60</v>
      </c>
      <c r="D91" s="1">
        <f t="shared" si="3"/>
        <v>6</v>
      </c>
      <c r="E91" s="5" cm="1">
        <f t="array" ref="E91">(INDEX(Stock_history!$B$1:$B$506,_xlfn.XMATCH('Indexable Inserts'!A91,Stock_history!$A$1:$A$506)))*-1/10</f>
        <v>12</v>
      </c>
      <c r="F91" s="5" cm="1">
        <f t="array" ref="F91">(INDEX(Stock_history!$C$1:$C$506,_xlfn.XMATCH('Indexable Inserts'!A91,Stock_history!$A$1:$A$506)))</f>
        <v>10</v>
      </c>
      <c r="G91" s="5" cm="1">
        <f t="array" ref="G91">(INDEX(Stock_history!$D$1:$D$506,_xlfn.XMATCH('Indexable Inserts'!A91,Stock_history!$A$1:$A$506)))*-1/10</f>
        <v>1.2</v>
      </c>
    </row>
    <row r="92" spans="1:7" x14ac:dyDescent="0.2">
      <c r="A92" s="2" t="s">
        <v>103</v>
      </c>
      <c r="B92" s="1" t="s">
        <v>83</v>
      </c>
      <c r="C92" s="1">
        <v>20</v>
      </c>
      <c r="D92" s="1">
        <f t="shared" si="3"/>
        <v>2</v>
      </c>
      <c r="E92" s="5" cm="1">
        <f t="array" ref="E92">(INDEX(Stock_history!$B$1:$B$506,_xlfn.XMATCH('Indexable Inserts'!A92,Stock_history!$A$1:$A$506)))*-1/10</f>
        <v>2</v>
      </c>
      <c r="F92" s="5" cm="1">
        <f t="array" ref="F92">(INDEX(Stock_history!$C$1:$C$506,_xlfn.XMATCH('Indexable Inserts'!A92,Stock_history!$A$1:$A$506)))</f>
        <v>3</v>
      </c>
      <c r="G92" s="5" cm="1">
        <f t="array" ref="G92">(INDEX(Stock_history!$D$1:$D$506,_xlfn.XMATCH('Indexable Inserts'!A92,Stock_history!$A$1:$A$506)))*-1/10</f>
        <v>0.67</v>
      </c>
    </row>
    <row r="93" spans="1:7" x14ac:dyDescent="0.2">
      <c r="A93" s="2" t="s">
        <v>104</v>
      </c>
      <c r="B93" s="1" t="s">
        <v>79</v>
      </c>
      <c r="C93" s="1">
        <v>40</v>
      </c>
      <c r="D93" s="1">
        <f t="shared" si="3"/>
        <v>4</v>
      </c>
      <c r="E93" s="5" cm="1">
        <f t="array" ref="E93">(INDEX(Stock_history!$B$1:$B$506,_xlfn.XMATCH('Indexable Inserts'!A93,Stock_history!$A$1:$A$506)))*-1/10</f>
        <v>5</v>
      </c>
      <c r="F93" s="5" cm="1">
        <f t="array" ref="F93">(INDEX(Stock_history!$C$1:$C$506,_xlfn.XMATCH('Indexable Inserts'!A93,Stock_history!$A$1:$A$506)))</f>
        <v>5</v>
      </c>
      <c r="G93" s="5" cm="1">
        <f t="array" ref="G93">(INDEX(Stock_history!$D$1:$D$506,_xlfn.XMATCH('Indexable Inserts'!A93,Stock_history!$A$1:$A$506)))*-1/10</f>
        <v>1</v>
      </c>
    </row>
    <row r="94" spans="1:7" x14ac:dyDescent="0.2">
      <c r="A94" s="2" t="s">
        <v>105</v>
      </c>
      <c r="B94" s="1" t="s">
        <v>106</v>
      </c>
      <c r="C94" s="1">
        <v>50</v>
      </c>
      <c r="D94" s="1">
        <f>C94/5</f>
        <v>10</v>
      </c>
      <c r="E94" s="5" cm="1">
        <f t="array" ref="E94">(INDEX(Stock_history!$B$1:$B$506,_xlfn.XMATCH('Indexable Inserts'!A94,Stock_history!$A$1:$A$506)))*-1/5</f>
        <v>12</v>
      </c>
      <c r="F94" s="5" cm="1">
        <f t="array" ref="F94">(INDEX(Stock_history!$C$1:$C$506,_xlfn.XMATCH('Indexable Inserts'!A94,Stock_history!$A$1:$A$506)))</f>
        <v>8</v>
      </c>
      <c r="G94" s="5" cm="1">
        <f t="array" ref="G94">(INDEX(Stock_history!$D$1:$D$506,_xlfn.XMATCH('Indexable Inserts'!A94,Stock_history!$A$1:$A$506)))*-1/5</f>
        <v>1.5</v>
      </c>
    </row>
    <row r="95" spans="1:7" x14ac:dyDescent="0.2">
      <c r="A95" s="2" t="s">
        <v>107</v>
      </c>
      <c r="B95" s="1" t="s">
        <v>108</v>
      </c>
      <c r="C95" s="1">
        <v>8</v>
      </c>
      <c r="D95" s="1">
        <f>C95/2</f>
        <v>4</v>
      </c>
      <c r="E95" s="5" t="e" cm="1">
        <f t="array" ref="E95">(INDEX(Stock_history!$B$1:$B$506,_xlfn.XMATCH('Indexable Inserts'!A95,Stock_history!$A$1:$A$506)))*-1/2</f>
        <v>#N/A</v>
      </c>
      <c r="F95" s="5" t="e" cm="1">
        <f t="array" ref="F95">(INDEX(Stock_history!$C$1:$C$506,_xlfn.XMATCH('Indexable Inserts'!A95,Stock_history!$A$1:$A$506)))</f>
        <v>#N/A</v>
      </c>
      <c r="G95" s="5" t="e" cm="1">
        <f t="array" ref="G95">(INDEX(Stock_history!$D$1:$D$506,_xlfn.XMATCH('Indexable Inserts'!A95,Stock_history!$A$1:$A$506)))*-1/2</f>
        <v>#N/A</v>
      </c>
    </row>
    <row r="96" spans="1:7" x14ac:dyDescent="0.2">
      <c r="A96" s="2" t="s">
        <v>109</v>
      </c>
      <c r="B96" s="1" t="s">
        <v>110</v>
      </c>
      <c r="C96" s="1">
        <v>80</v>
      </c>
      <c r="D96" s="1">
        <f>C96/10</f>
        <v>8</v>
      </c>
      <c r="E96" s="5" cm="1">
        <f t="array" ref="E96">(INDEX(Stock_history!$B$1:$B$506,_xlfn.XMATCH('Indexable Inserts'!A96,Stock_history!$A$1:$A$506)))*-1/10</f>
        <v>23</v>
      </c>
      <c r="F96" s="5" cm="1">
        <f t="array" ref="F96">(INDEX(Stock_history!$C$1:$C$506,_xlfn.XMATCH('Indexable Inserts'!A96,Stock_history!$A$1:$A$506)))</f>
        <v>18</v>
      </c>
      <c r="G96" s="5" cm="1">
        <f t="array" ref="G96">(INDEX(Stock_history!$D$1:$D$506,_xlfn.XMATCH('Indexable Inserts'!A96,Stock_history!$A$1:$A$506)))*-1/10</f>
        <v>1.28</v>
      </c>
    </row>
    <row r="97" spans="1:7" x14ac:dyDescent="0.2">
      <c r="A97" s="2" t="s">
        <v>111</v>
      </c>
      <c r="B97" s="1" t="s">
        <v>79</v>
      </c>
      <c r="C97" s="1">
        <v>20</v>
      </c>
      <c r="D97" s="1">
        <f>C97/10</f>
        <v>2</v>
      </c>
      <c r="E97" s="5" cm="1">
        <f t="array" ref="E97">(INDEX(Stock_history!$B$1:$B$506,_xlfn.XMATCH('Indexable Inserts'!A97,Stock_history!$A$1:$A$506)))*-1/10</f>
        <v>1</v>
      </c>
      <c r="F97" s="5" cm="1">
        <f t="array" ref="F97">(INDEX(Stock_history!$C$1:$C$506,_xlfn.XMATCH('Indexable Inserts'!A97,Stock_history!$A$1:$A$506)))</f>
        <v>1</v>
      </c>
      <c r="G97" s="5" cm="1">
        <f t="array" ref="G97">(INDEX(Stock_history!$D$1:$D$506,_xlfn.XMATCH('Indexable Inserts'!A97,Stock_history!$A$1:$A$506)))*-1/10</f>
        <v>1</v>
      </c>
    </row>
    <row r="98" spans="1:7" x14ac:dyDescent="0.2">
      <c r="A98" s="2" t="s">
        <v>112</v>
      </c>
      <c r="B98" s="1" t="s">
        <v>113</v>
      </c>
      <c r="C98" s="1">
        <v>36</v>
      </c>
      <c r="D98" s="1">
        <f>C98/1</f>
        <v>36</v>
      </c>
      <c r="E98" s="5" cm="1">
        <f t="array" ref="E98">(INDEX(Stock_history!$B$1:$B$506,_xlfn.XMATCH('Indexable Inserts'!A98,Stock_history!$A$1:$A$506)))*-1</f>
        <v>46</v>
      </c>
      <c r="F98" s="5" cm="1">
        <f t="array" ref="F98">(INDEX(Stock_history!$C$1:$C$506,_xlfn.XMATCH('Indexable Inserts'!A98,Stock_history!$A$1:$A$506)))</f>
        <v>15</v>
      </c>
      <c r="G98" s="5" cm="1">
        <f t="array" ref="G98">(INDEX(Stock_history!$D$1:$D$506,_xlfn.XMATCH('Indexable Inserts'!A98,Stock_history!$A$1:$A$506)))*-1</f>
        <v>3.1</v>
      </c>
    </row>
    <row r="99" spans="1:7" x14ac:dyDescent="0.2">
      <c r="A99" s="2" t="s">
        <v>114</v>
      </c>
      <c r="B99" s="1" t="s">
        <v>86</v>
      </c>
      <c r="C99" s="1">
        <v>30</v>
      </c>
      <c r="D99" s="1">
        <f t="shared" ref="D99:D106" si="4">C99/10</f>
        <v>3</v>
      </c>
      <c r="E99" s="5" cm="1">
        <f t="array" ref="E99">(INDEX(Stock_history!$B$1:$B$506,_xlfn.XMATCH('Indexable Inserts'!A99,Stock_history!$A$1:$A$506)))*-1/10</f>
        <v>3</v>
      </c>
      <c r="F99" s="5" cm="1">
        <f t="array" ref="F99">(INDEX(Stock_history!$C$1:$C$506,_xlfn.XMATCH('Indexable Inserts'!A99,Stock_history!$A$1:$A$506)))</f>
        <v>4</v>
      </c>
      <c r="G99" s="5" cm="1">
        <f t="array" ref="G99">(INDEX(Stock_history!$D$1:$D$506,_xlfn.XMATCH('Indexable Inserts'!A99,Stock_history!$A$1:$A$506)))*-1/10</f>
        <v>0.75</v>
      </c>
    </row>
    <row r="100" spans="1:7" x14ac:dyDescent="0.2">
      <c r="A100" s="2" t="s">
        <v>115</v>
      </c>
      <c r="B100" s="1" t="s">
        <v>79</v>
      </c>
      <c r="C100" s="1">
        <v>20</v>
      </c>
      <c r="D100" s="1">
        <f t="shared" si="4"/>
        <v>2</v>
      </c>
      <c r="E100" s="5" cm="1">
        <f t="array" ref="E100">(INDEX(Stock_history!$B$1:$B$506,_xlfn.XMATCH('Indexable Inserts'!A100,Stock_history!$A$1:$A$506)))*-1/10</f>
        <v>2</v>
      </c>
      <c r="F100" s="5" cm="1">
        <f t="array" ref="F100">(INDEX(Stock_history!$C$1:$C$506,_xlfn.XMATCH('Indexable Inserts'!A100,Stock_history!$A$1:$A$506)))</f>
        <v>2</v>
      </c>
      <c r="G100" s="5" cm="1">
        <f t="array" ref="G100">(INDEX(Stock_history!$D$1:$D$506,_xlfn.XMATCH('Indexable Inserts'!A100,Stock_history!$A$1:$A$506)))*-1/10</f>
        <v>1</v>
      </c>
    </row>
    <row r="101" spans="1:7" x14ac:dyDescent="0.2">
      <c r="A101" s="2" t="s">
        <v>116</v>
      </c>
      <c r="B101" s="1" t="s">
        <v>79</v>
      </c>
      <c r="C101" s="1">
        <v>20</v>
      </c>
      <c r="D101" s="1">
        <f t="shared" si="4"/>
        <v>2</v>
      </c>
      <c r="E101" s="5" cm="1">
        <f t="array" ref="E101">(INDEX(Stock_history!$B$1:$B$506,_xlfn.XMATCH('Indexable Inserts'!A101,Stock_history!$A$1:$A$506)))*-1/10</f>
        <v>0.5</v>
      </c>
      <c r="F101" s="5" cm="1">
        <f t="array" ref="F101">(INDEX(Stock_history!$C$1:$C$506,_xlfn.XMATCH('Indexable Inserts'!A101,Stock_history!$A$1:$A$506)))</f>
        <v>1</v>
      </c>
      <c r="G101" s="5" cm="1">
        <f t="array" ref="G101">(INDEX(Stock_history!$D$1:$D$506,_xlfn.XMATCH('Indexable Inserts'!A101,Stock_history!$A$1:$A$506)))*-1/10</f>
        <v>0.5</v>
      </c>
    </row>
    <row r="102" spans="1:7" x14ac:dyDescent="0.2">
      <c r="A102" s="2" t="s">
        <v>117</v>
      </c>
      <c r="B102" s="1" t="s">
        <v>118</v>
      </c>
      <c r="C102" s="1">
        <v>40</v>
      </c>
      <c r="D102" s="1">
        <f t="shared" si="4"/>
        <v>4</v>
      </c>
      <c r="E102" s="5" cm="1">
        <f t="array" ref="E102">(INDEX(Stock_history!$B$1:$B$506,_xlfn.XMATCH('Indexable Inserts'!A102,Stock_history!$A$1:$A$506)))*-1/10</f>
        <v>7</v>
      </c>
      <c r="F102" s="5" cm="1">
        <f t="array" ref="F102">(INDEX(Stock_history!$C$1:$C$506,_xlfn.XMATCH('Indexable Inserts'!A102,Stock_history!$A$1:$A$506)))</f>
        <v>6</v>
      </c>
      <c r="G102" s="5" cm="1">
        <f t="array" ref="G102">(INDEX(Stock_history!$D$1:$D$506,_xlfn.XMATCH('Indexable Inserts'!A102,Stock_history!$A$1:$A$506)))*-1/10</f>
        <v>1.17</v>
      </c>
    </row>
    <row r="103" spans="1:7" x14ac:dyDescent="0.2">
      <c r="A103" s="2" t="s">
        <v>119</v>
      </c>
      <c r="B103" s="1" t="s">
        <v>73</v>
      </c>
      <c r="C103" s="1">
        <v>60</v>
      </c>
      <c r="D103" s="1">
        <f t="shared" si="4"/>
        <v>6</v>
      </c>
      <c r="E103" s="5" cm="1">
        <f t="array" ref="E103">(INDEX(Stock_history!$B$1:$B$506,_xlfn.XMATCH('Indexable Inserts'!A103,Stock_history!$A$1:$A$506)))*-1/10</f>
        <v>11</v>
      </c>
      <c r="F103" s="5" cm="1">
        <f t="array" ref="F103">(INDEX(Stock_history!$C$1:$C$506,_xlfn.XMATCH('Indexable Inserts'!A103,Stock_history!$A$1:$A$506)))</f>
        <v>10</v>
      </c>
      <c r="G103" s="5" cm="1">
        <f t="array" ref="G103">(INDEX(Stock_history!$D$1:$D$506,_xlfn.XMATCH('Indexable Inserts'!A103,Stock_history!$A$1:$A$506)))*-1/10</f>
        <v>1.1000000000000001</v>
      </c>
    </row>
    <row r="104" spans="1:7" x14ac:dyDescent="0.2">
      <c r="A104" s="2" t="s">
        <v>120</v>
      </c>
      <c r="B104" s="1" t="s">
        <v>121</v>
      </c>
      <c r="C104" s="1">
        <v>20</v>
      </c>
      <c r="D104" s="1">
        <f t="shared" si="4"/>
        <v>2</v>
      </c>
      <c r="E104" s="5" cm="1">
        <f t="array" ref="E104">(INDEX(Stock_history!$B$1:$B$506,_xlfn.XMATCH('Indexable Inserts'!A104,Stock_history!$A$1:$A$506)))*-1/10</f>
        <v>2</v>
      </c>
      <c r="F104" s="5" cm="1">
        <f t="array" ref="F104">(INDEX(Stock_history!$C$1:$C$506,_xlfn.XMATCH('Indexable Inserts'!A104,Stock_history!$A$1:$A$506)))</f>
        <v>2</v>
      </c>
      <c r="G104" s="5" cm="1">
        <f t="array" ref="G104">(INDEX(Stock_history!$D$1:$D$506,_xlfn.XMATCH('Indexable Inserts'!A104,Stock_history!$A$1:$A$506)))*-1/10</f>
        <v>1</v>
      </c>
    </row>
    <row r="105" spans="1:7" x14ac:dyDescent="0.2">
      <c r="A105" s="2" t="s">
        <v>122</v>
      </c>
      <c r="B105" s="1" t="s">
        <v>123</v>
      </c>
      <c r="C105" s="1">
        <v>60</v>
      </c>
      <c r="D105" s="1">
        <f t="shared" si="4"/>
        <v>6</v>
      </c>
      <c r="E105" s="5" cm="1">
        <f t="array" ref="E105">(INDEX(Stock_history!$B$1:$B$506,_xlfn.XMATCH('Indexable Inserts'!A105,Stock_history!$A$1:$A$506)))*-1/10</f>
        <v>9</v>
      </c>
      <c r="F105" s="5" cm="1">
        <f t="array" ref="F105">(INDEX(Stock_history!$C$1:$C$506,_xlfn.XMATCH('Indexable Inserts'!A105,Stock_history!$A$1:$A$506)))</f>
        <v>7</v>
      </c>
      <c r="G105" s="5" cm="1">
        <f t="array" ref="G105">(INDEX(Stock_history!$D$1:$D$506,_xlfn.XMATCH('Indexable Inserts'!A105,Stock_history!$A$1:$A$506)))*-1/10</f>
        <v>1.29</v>
      </c>
    </row>
    <row r="106" spans="1:7" x14ac:dyDescent="0.2">
      <c r="A106" s="2" t="s">
        <v>124</v>
      </c>
      <c r="B106" s="1" t="s">
        <v>39</v>
      </c>
      <c r="C106" s="1">
        <v>50</v>
      </c>
      <c r="D106" s="1">
        <f t="shared" si="4"/>
        <v>5</v>
      </c>
      <c r="E106" s="5" cm="1">
        <f t="array" ref="E106">(INDEX(Stock_history!$B$1:$B$506,_xlfn.XMATCH('Indexable Inserts'!A106,Stock_history!$A$1:$A$506)))*-1/10</f>
        <v>6</v>
      </c>
      <c r="F106" s="5" cm="1">
        <f t="array" ref="F106">(INDEX(Stock_history!$C$1:$C$506,_xlfn.XMATCH('Indexable Inserts'!A106,Stock_history!$A$1:$A$506)))</f>
        <v>6</v>
      </c>
      <c r="G106" s="5" cm="1">
        <f t="array" ref="G106">(INDEX(Stock_history!$D$1:$D$506,_xlfn.XMATCH('Indexable Inserts'!A106,Stock_history!$A$1:$A$506)))*-1/10</f>
        <v>1</v>
      </c>
    </row>
    <row r="107" spans="1:7" x14ac:dyDescent="0.2">
      <c r="A107" s="2" t="s">
        <v>125</v>
      </c>
      <c r="B107" s="1" t="s">
        <v>126</v>
      </c>
      <c r="C107" s="1">
        <v>3</v>
      </c>
      <c r="D107" s="1">
        <f>C107/1</f>
        <v>3</v>
      </c>
      <c r="E107" s="5" cm="1">
        <f t="array" ref="E107">(INDEX(Stock_history!$B$1:$B$506,_xlfn.XMATCH('Indexable Inserts'!A107,Stock_history!$A$1:$A$506)))*-1</f>
        <v>1</v>
      </c>
      <c r="F107" s="5" cm="1">
        <f t="array" ref="F107">(INDEX(Stock_history!$C$1:$C$506,_xlfn.XMATCH('Indexable Inserts'!A107,Stock_history!$A$1:$A$506)))</f>
        <v>1</v>
      </c>
      <c r="G107" s="5" cm="1">
        <f t="array" ref="G107">(INDEX(Stock_history!$D$1:$D$506,_xlfn.XMATCH('Indexable Inserts'!A107,Stock_history!$A$1:$A$506)))*-1</f>
        <v>1</v>
      </c>
    </row>
    <row r="108" spans="1:7" x14ac:dyDescent="0.2">
      <c r="A108" s="2" t="s">
        <v>127</v>
      </c>
      <c r="B108" s="1" t="s">
        <v>54</v>
      </c>
      <c r="C108" s="1">
        <v>30</v>
      </c>
      <c r="D108" s="1">
        <f t="shared" ref="D108:D117" si="5">C108/10</f>
        <v>3</v>
      </c>
      <c r="E108" s="5" cm="1">
        <f t="array" ref="E108">(INDEX(Stock_history!$B$1:$B$506,_xlfn.XMATCH('Indexable Inserts'!A108,Stock_history!$A$1:$A$506)))*-1/10</f>
        <v>13</v>
      </c>
      <c r="F108" s="5" cm="1">
        <f t="array" ref="F108">(INDEX(Stock_history!$C$1:$C$506,_xlfn.XMATCH('Indexable Inserts'!A108,Stock_history!$A$1:$A$506)))</f>
        <v>10</v>
      </c>
      <c r="G108" s="5" cm="1">
        <f t="array" ref="G108">(INDEX(Stock_history!$D$1:$D$506,_xlfn.XMATCH('Indexable Inserts'!A108,Stock_history!$A$1:$A$506)))*-1/10</f>
        <v>1.3</v>
      </c>
    </row>
    <row r="109" spans="1:7" x14ac:dyDescent="0.2">
      <c r="A109" s="2" t="s">
        <v>128</v>
      </c>
      <c r="B109" s="1" t="s">
        <v>73</v>
      </c>
      <c r="C109" s="1">
        <v>100</v>
      </c>
      <c r="D109" s="1">
        <f t="shared" si="5"/>
        <v>10</v>
      </c>
      <c r="E109" s="5" cm="1">
        <f t="array" ref="E109">(INDEX(Stock_history!$B$1:$B$506,_xlfn.XMATCH('Indexable Inserts'!A109,Stock_history!$A$1:$A$506)))*-1/10</f>
        <v>22</v>
      </c>
      <c r="F109" s="5" cm="1">
        <f t="array" ref="F109">(INDEX(Stock_history!$C$1:$C$506,_xlfn.XMATCH('Indexable Inserts'!A109,Stock_history!$A$1:$A$506)))</f>
        <v>11</v>
      </c>
      <c r="G109" s="5" cm="1">
        <f t="array" ref="G109">(INDEX(Stock_history!$D$1:$D$506,_xlfn.XMATCH('Indexable Inserts'!A109,Stock_history!$A$1:$A$506)))*-1/10</f>
        <v>2</v>
      </c>
    </row>
    <row r="110" spans="1:7" x14ac:dyDescent="0.2">
      <c r="A110" s="2" t="s">
        <v>129</v>
      </c>
      <c r="B110" s="1" t="s">
        <v>121</v>
      </c>
      <c r="C110" s="1">
        <v>60</v>
      </c>
      <c r="D110" s="1">
        <f t="shared" si="5"/>
        <v>6</v>
      </c>
      <c r="E110" s="5" cm="1">
        <f t="array" ref="E110">(INDEX(Stock_history!$B$1:$B$506,_xlfn.XMATCH('Indexable Inserts'!A110,Stock_history!$A$1:$A$506)))*-1/10</f>
        <v>1</v>
      </c>
      <c r="F110" s="5" cm="1">
        <f t="array" ref="F110">(INDEX(Stock_history!$C$1:$C$506,_xlfn.XMATCH('Indexable Inserts'!A110,Stock_history!$A$1:$A$506)))</f>
        <v>1</v>
      </c>
      <c r="G110" s="5" cm="1">
        <f t="array" ref="G110">(INDEX(Stock_history!$D$1:$D$506,_xlfn.XMATCH('Indexable Inserts'!A110,Stock_history!$A$1:$A$506)))*-1/10</f>
        <v>1</v>
      </c>
    </row>
    <row r="111" spans="1:7" x14ac:dyDescent="0.2">
      <c r="A111" s="2" t="s">
        <v>130</v>
      </c>
      <c r="B111" s="1" t="s">
        <v>118</v>
      </c>
      <c r="C111" s="1">
        <v>30</v>
      </c>
      <c r="D111" s="1">
        <f t="shared" si="5"/>
        <v>3</v>
      </c>
      <c r="E111" s="5" cm="1">
        <f t="array" ref="E111">(INDEX(Stock_history!$B$1:$B$506,_xlfn.XMATCH('Indexable Inserts'!A111,Stock_history!$A$1:$A$506)))*-1/10</f>
        <v>9</v>
      </c>
      <c r="F111" s="5" cm="1">
        <f t="array" ref="F111">(INDEX(Stock_history!$C$1:$C$506,_xlfn.XMATCH('Indexable Inserts'!A111,Stock_history!$A$1:$A$506)))</f>
        <v>9</v>
      </c>
      <c r="G111" s="5" cm="1">
        <f t="array" ref="G111">(INDEX(Stock_history!$D$1:$D$506,_xlfn.XMATCH('Indexable Inserts'!A111,Stock_history!$A$1:$A$506)))*-1/10</f>
        <v>1</v>
      </c>
    </row>
    <row r="112" spans="1:7" x14ac:dyDescent="0.2">
      <c r="A112" s="2" t="s">
        <v>131</v>
      </c>
      <c r="B112" s="1" t="s">
        <v>132</v>
      </c>
      <c r="C112" s="1">
        <v>20</v>
      </c>
      <c r="D112" s="1">
        <f t="shared" si="5"/>
        <v>2</v>
      </c>
      <c r="E112" s="5" cm="1">
        <f t="array" ref="E112">(INDEX(Stock_history!$B$1:$B$506,_xlfn.XMATCH('Indexable Inserts'!A112,Stock_history!$A$1:$A$506)))*-1/10</f>
        <v>1.5</v>
      </c>
      <c r="F112" s="5" cm="1">
        <f t="array" ref="F112">(INDEX(Stock_history!$C$1:$C$506,_xlfn.XMATCH('Indexable Inserts'!A112,Stock_history!$A$1:$A$506)))</f>
        <v>2</v>
      </c>
      <c r="G112" s="5" cm="1">
        <f t="array" ref="G112">(INDEX(Stock_history!$D$1:$D$506,_xlfn.XMATCH('Indexable Inserts'!A112,Stock_history!$A$1:$A$506)))*-1/10</f>
        <v>0.75</v>
      </c>
    </row>
    <row r="113" spans="1:7" x14ac:dyDescent="0.2">
      <c r="A113" s="2" t="s">
        <v>133</v>
      </c>
      <c r="B113" s="1" t="s">
        <v>73</v>
      </c>
      <c r="C113" s="1">
        <v>10</v>
      </c>
      <c r="D113" s="1">
        <f t="shared" si="5"/>
        <v>1</v>
      </c>
      <c r="E113" s="5" cm="1">
        <f t="array" ref="E113">(INDEX(Stock_history!$B$1:$B$506,_xlfn.XMATCH('Indexable Inserts'!A113,Stock_history!$A$1:$A$506)))*-1/10</f>
        <v>1</v>
      </c>
      <c r="F113" s="5" cm="1">
        <f t="array" ref="F113">(INDEX(Stock_history!$C$1:$C$506,_xlfn.XMATCH('Indexable Inserts'!A113,Stock_history!$A$1:$A$506)))</f>
        <v>1</v>
      </c>
      <c r="G113" s="5" cm="1">
        <f t="array" ref="G113">(INDEX(Stock_history!$D$1:$D$506,_xlfn.XMATCH('Indexable Inserts'!A113,Stock_history!$A$1:$A$506)))*-1/10</f>
        <v>1</v>
      </c>
    </row>
    <row r="114" spans="1:7" x14ac:dyDescent="0.2">
      <c r="A114" s="2" t="s">
        <v>134</v>
      </c>
      <c r="B114" s="1" t="s">
        <v>118</v>
      </c>
      <c r="C114" s="1">
        <v>20</v>
      </c>
      <c r="D114" s="1">
        <f t="shared" si="5"/>
        <v>2</v>
      </c>
      <c r="E114" s="5" cm="1">
        <f t="array" ref="E114">(INDEX(Stock_history!$B$1:$B$506,_xlfn.XMATCH('Indexable Inserts'!A114,Stock_history!$A$1:$A$506)))*-1/10</f>
        <v>8</v>
      </c>
      <c r="F114" s="5" cm="1">
        <f t="array" ref="F114">(INDEX(Stock_history!$C$1:$C$506,_xlfn.XMATCH('Indexable Inserts'!A114,Stock_history!$A$1:$A$506)))</f>
        <v>7</v>
      </c>
      <c r="G114" s="5" cm="1">
        <f t="array" ref="G114">(INDEX(Stock_history!$D$1:$D$506,_xlfn.XMATCH('Indexable Inserts'!A114,Stock_history!$A$1:$A$506)))*-1/10</f>
        <v>1.1400000000000001</v>
      </c>
    </row>
    <row r="115" spans="1:7" x14ac:dyDescent="0.2">
      <c r="A115" s="2" t="s">
        <v>135</v>
      </c>
      <c r="B115" s="1" t="s">
        <v>96</v>
      </c>
      <c r="C115" s="1">
        <v>70</v>
      </c>
      <c r="D115" s="1">
        <f t="shared" si="5"/>
        <v>7</v>
      </c>
      <c r="E115" s="5" cm="1">
        <f t="array" ref="E115">(INDEX(Stock_history!$B$1:$B$506,_xlfn.XMATCH('Indexable Inserts'!A115,Stock_history!$A$1:$A$506)))*-1/10</f>
        <v>8</v>
      </c>
      <c r="F115" s="5" cm="1">
        <f t="array" ref="F115">(INDEX(Stock_history!$C$1:$C$506,_xlfn.XMATCH('Indexable Inserts'!A115,Stock_history!$A$1:$A$506)))</f>
        <v>6</v>
      </c>
      <c r="G115" s="5" cm="1">
        <f t="array" ref="G115">(INDEX(Stock_history!$D$1:$D$506,_xlfn.XMATCH('Indexable Inserts'!A115,Stock_history!$A$1:$A$506)))*-1/10</f>
        <v>1.33</v>
      </c>
    </row>
    <row r="116" spans="1:7" x14ac:dyDescent="0.2">
      <c r="A116" s="2" t="s">
        <v>136</v>
      </c>
      <c r="B116" s="1" t="s">
        <v>73</v>
      </c>
      <c r="C116" s="1">
        <v>10</v>
      </c>
      <c r="D116" s="1">
        <f t="shared" si="5"/>
        <v>1</v>
      </c>
      <c r="E116" s="5" cm="1">
        <f t="array" ref="E116">(INDEX(Stock_history!$B$1:$B$506,_xlfn.XMATCH('Indexable Inserts'!A116,Stock_history!$A$1:$A$506)))*-1/10</f>
        <v>0.3</v>
      </c>
      <c r="F116" s="5" cm="1">
        <f t="array" ref="F116">(INDEX(Stock_history!$C$1:$C$506,_xlfn.XMATCH('Indexable Inserts'!A116,Stock_history!$A$1:$A$506)))</f>
        <v>1</v>
      </c>
      <c r="G116" s="5" cm="1">
        <f t="array" ref="G116">(INDEX(Stock_history!$D$1:$D$506,_xlfn.XMATCH('Indexable Inserts'!A116,Stock_history!$A$1:$A$506)))*-1/10</f>
        <v>0.3</v>
      </c>
    </row>
    <row r="117" spans="1:7" x14ac:dyDescent="0.2">
      <c r="A117" s="2" t="s">
        <v>137</v>
      </c>
      <c r="B117" s="1" t="s">
        <v>132</v>
      </c>
      <c r="C117" s="1">
        <v>10</v>
      </c>
      <c r="D117" s="1">
        <f t="shared" si="5"/>
        <v>1</v>
      </c>
      <c r="E117" s="5" cm="1">
        <f t="array" ref="E117">(INDEX(Stock_history!$B$1:$B$506,_xlfn.XMATCH('Indexable Inserts'!A117,Stock_history!$A$1:$A$506)))*-1/10</f>
        <v>0.5</v>
      </c>
      <c r="F117" s="5" cm="1">
        <f t="array" ref="F117">(INDEX(Stock_history!$C$1:$C$506,_xlfn.XMATCH('Indexable Inserts'!A117,Stock_history!$A$1:$A$506)))</f>
        <v>1</v>
      </c>
      <c r="G117" s="5" cm="1">
        <f t="array" ref="G117">(INDEX(Stock_history!$D$1:$D$506,_xlfn.XMATCH('Indexable Inserts'!A117,Stock_history!$A$1:$A$506)))*-1/10</f>
        <v>0.5</v>
      </c>
    </row>
    <row r="118" spans="1:7" x14ac:dyDescent="0.2">
      <c r="A118" s="2" t="s">
        <v>138</v>
      </c>
      <c r="B118" s="1" t="s">
        <v>139</v>
      </c>
      <c r="C118" s="1">
        <v>25</v>
      </c>
      <c r="D118" s="1">
        <f>C118/5</f>
        <v>5</v>
      </c>
      <c r="E118" s="5" cm="1">
        <f t="array" ref="E118">(INDEX(Stock_history!$B$1:$B$506,_xlfn.XMATCH('Indexable Inserts'!A118,Stock_history!$A$1:$A$506)))*-1/5</f>
        <v>9</v>
      </c>
      <c r="F118" s="5" cm="1">
        <f t="array" ref="F118">(INDEX(Stock_history!$C$1:$C$506,_xlfn.XMATCH('Indexable Inserts'!A118,Stock_history!$A$1:$A$506)))</f>
        <v>7</v>
      </c>
      <c r="G118" s="5" cm="1">
        <f t="array" ref="G118">(INDEX(Stock_history!$D$1:$D$506,_xlfn.XMATCH('Indexable Inserts'!A118,Stock_history!$A$1:$A$506)))*-1/5</f>
        <v>1.28</v>
      </c>
    </row>
    <row r="119" spans="1:7" x14ac:dyDescent="0.2">
      <c r="A119" s="2" t="s">
        <v>140</v>
      </c>
      <c r="B119" s="1" t="s">
        <v>121</v>
      </c>
      <c r="C119" s="1">
        <v>10</v>
      </c>
      <c r="D119" s="1">
        <f>C119/10</f>
        <v>1</v>
      </c>
      <c r="E119" s="5" t="e" cm="1">
        <f t="array" ref="E119">(INDEX(Stock_history!$B$1:$B$506,_xlfn.XMATCH('Indexable Inserts'!A119,Stock_history!$A$1:$A$506)))*-1/10</f>
        <v>#N/A</v>
      </c>
      <c r="F119" s="5" t="e" cm="1">
        <f t="array" ref="F119">(INDEX(Stock_history!$C$1:$C$506,_xlfn.XMATCH('Indexable Inserts'!A119,Stock_history!$A$1:$A$506)))</f>
        <v>#N/A</v>
      </c>
      <c r="G119" s="5" t="e" cm="1">
        <f t="array" ref="G119">(INDEX(Stock_history!$D$1:$D$506,_xlfn.XMATCH('Indexable Inserts'!A119,Stock_history!$A$1:$A$506)))*-1/10</f>
        <v>#N/A</v>
      </c>
    </row>
    <row r="120" spans="1:7" x14ac:dyDescent="0.2">
      <c r="A120" s="2" t="s">
        <v>141</v>
      </c>
      <c r="B120" s="1" t="s">
        <v>73</v>
      </c>
      <c r="C120" s="1">
        <v>20</v>
      </c>
      <c r="D120" s="1">
        <f>C120/10</f>
        <v>2</v>
      </c>
      <c r="E120" s="5" cm="1">
        <f t="array" ref="E120">(INDEX(Stock_history!$B$1:$B$506,_xlfn.XMATCH('Indexable Inserts'!A120,Stock_history!$A$1:$A$506)))*-1/10</f>
        <v>2</v>
      </c>
      <c r="F120" s="5" cm="1">
        <f t="array" ref="F120">(INDEX(Stock_history!$C$1:$C$506,_xlfn.XMATCH('Indexable Inserts'!A120,Stock_history!$A$1:$A$506)))</f>
        <v>2</v>
      </c>
      <c r="G120" s="5" cm="1">
        <f t="array" ref="G120">(INDEX(Stock_history!$D$1:$D$506,_xlfn.XMATCH('Indexable Inserts'!A120,Stock_history!$A$1:$A$506)))*-1/10</f>
        <v>1</v>
      </c>
    </row>
    <row r="121" spans="1:7" x14ac:dyDescent="0.2">
      <c r="A121" s="2" t="s">
        <v>142</v>
      </c>
      <c r="B121" s="1" t="s">
        <v>86</v>
      </c>
      <c r="C121" s="1">
        <v>30</v>
      </c>
      <c r="D121" s="1">
        <f>C121/10</f>
        <v>3</v>
      </c>
      <c r="E121" s="5" cm="1">
        <f t="array" ref="E121">(INDEX(Stock_history!$B$1:$B$506,_xlfn.XMATCH('Indexable Inserts'!A121,Stock_history!$A$1:$A$506)))*-1/10</f>
        <v>2</v>
      </c>
      <c r="F121" s="5" cm="1">
        <f t="array" ref="F121">(INDEX(Stock_history!$C$1:$C$506,_xlfn.XMATCH('Indexable Inserts'!A121,Stock_history!$A$1:$A$506)))</f>
        <v>1</v>
      </c>
      <c r="G121" s="5" cm="1">
        <f t="array" ref="G121">(INDEX(Stock_history!$D$1:$D$506,_xlfn.XMATCH('Indexable Inserts'!A121,Stock_history!$A$1:$A$506)))*-1/10</f>
        <v>2</v>
      </c>
    </row>
    <row r="122" spans="1:7" x14ac:dyDescent="0.2">
      <c r="A122" s="2" t="s">
        <v>143</v>
      </c>
      <c r="B122" s="1" t="s">
        <v>86</v>
      </c>
      <c r="C122" s="1">
        <v>30</v>
      </c>
      <c r="D122" s="1">
        <f>C122/10</f>
        <v>3</v>
      </c>
      <c r="E122" s="5" cm="1">
        <f t="array" ref="E122">(INDEX(Stock_history!$B$1:$B$506,_xlfn.XMATCH('Indexable Inserts'!A122,Stock_history!$A$1:$A$506)))*-1/10</f>
        <v>2</v>
      </c>
      <c r="F122" s="5" cm="1">
        <f t="array" ref="F122">(INDEX(Stock_history!$C$1:$C$506,_xlfn.XMATCH('Indexable Inserts'!A122,Stock_history!$A$1:$A$506)))</f>
        <v>1</v>
      </c>
      <c r="G122" s="5" cm="1">
        <f t="array" ref="G122">(INDEX(Stock_history!$D$1:$D$506,_xlfn.XMATCH('Indexable Inserts'!A122,Stock_history!$A$1:$A$506)))*-1/10</f>
        <v>2</v>
      </c>
    </row>
    <row r="127" spans="1:7" x14ac:dyDescent="0.2">
      <c r="B127" s="2"/>
    </row>
    <row r="128" spans="1:7" x14ac:dyDescent="0.2">
      <c r="B128" s="2"/>
    </row>
    <row r="129" spans="2:2" x14ac:dyDescent="0.2">
      <c r="B129" s="2"/>
    </row>
    <row r="130" spans="2:2" x14ac:dyDescent="0.2">
      <c r="B130" s="2"/>
    </row>
    <row r="131" spans="2:2" x14ac:dyDescent="0.2">
      <c r="B131" s="2"/>
    </row>
    <row r="132" spans="2:2" x14ac:dyDescent="0.2">
      <c r="B132" s="2"/>
    </row>
    <row r="133" spans="2:2" x14ac:dyDescent="0.2">
      <c r="B133" s="2"/>
    </row>
    <row r="134" spans="2:2" x14ac:dyDescent="0.2">
      <c r="B134" s="2"/>
    </row>
    <row r="135" spans="2:2" x14ac:dyDescent="0.2">
      <c r="B1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0074A-4B9E-43A8-BACE-ABF755BFC6B5}">
  <sheetPr codeName="Sheet5"/>
  <dimension ref="A1:D506"/>
  <sheetViews>
    <sheetView workbookViewId="0">
      <selection activeCell="A237" sqref="A237"/>
    </sheetView>
  </sheetViews>
  <sheetFormatPr baseColWidth="10" defaultColWidth="8.83203125" defaultRowHeight="15" x14ac:dyDescent="0.2"/>
  <sheetData>
    <row r="1" spans="1:4" x14ac:dyDescent="0.2">
      <c r="A1" s="3" t="s">
        <v>20</v>
      </c>
      <c r="B1" s="4">
        <v>-7098</v>
      </c>
      <c r="C1" s="4">
        <v>297</v>
      </c>
      <c r="D1" s="4">
        <v>-23.9</v>
      </c>
    </row>
    <row r="2" spans="1:4" x14ac:dyDescent="0.2">
      <c r="A2" s="3" t="s">
        <v>3</v>
      </c>
      <c r="B2" s="4">
        <v>-1630</v>
      </c>
      <c r="C2" s="4">
        <v>85</v>
      </c>
      <c r="D2" s="4">
        <v>-19.2</v>
      </c>
    </row>
    <row r="3" spans="1:4" x14ac:dyDescent="0.2">
      <c r="A3" s="3" t="s">
        <v>261</v>
      </c>
      <c r="B3" s="4">
        <v>-62</v>
      </c>
      <c r="C3" s="4">
        <v>61</v>
      </c>
      <c r="D3" s="4">
        <v>-1</v>
      </c>
    </row>
    <row r="4" spans="1:4" x14ac:dyDescent="0.2">
      <c r="A4" s="3" t="s">
        <v>221</v>
      </c>
      <c r="B4" s="4">
        <v>-51</v>
      </c>
      <c r="C4" s="4">
        <v>50</v>
      </c>
      <c r="D4" s="4">
        <v>-1</v>
      </c>
    </row>
    <row r="5" spans="1:4" x14ac:dyDescent="0.2">
      <c r="A5" s="3" t="s">
        <v>256</v>
      </c>
      <c r="B5" s="4">
        <v>-59</v>
      </c>
      <c r="C5" s="4">
        <v>48</v>
      </c>
      <c r="D5" s="4">
        <v>-1.2</v>
      </c>
    </row>
    <row r="6" spans="1:4" x14ac:dyDescent="0.2">
      <c r="A6" s="3" t="s">
        <v>63</v>
      </c>
      <c r="B6" s="4">
        <v>-550</v>
      </c>
      <c r="C6" s="4">
        <v>47</v>
      </c>
      <c r="D6" s="4">
        <v>-11.7</v>
      </c>
    </row>
    <row r="7" spans="1:4" x14ac:dyDescent="0.2">
      <c r="A7" s="3" t="s">
        <v>263</v>
      </c>
      <c r="B7" s="4">
        <v>-52</v>
      </c>
      <c r="C7" s="4">
        <v>42</v>
      </c>
      <c r="D7" s="4">
        <v>-1.2</v>
      </c>
    </row>
    <row r="8" spans="1:4" x14ac:dyDescent="0.2">
      <c r="A8" s="3" t="s">
        <v>99</v>
      </c>
      <c r="B8" s="4">
        <v>-500</v>
      </c>
      <c r="C8" s="4">
        <v>41</v>
      </c>
      <c r="D8" s="4">
        <v>-12.2</v>
      </c>
    </row>
    <row r="9" spans="1:4" x14ac:dyDescent="0.2">
      <c r="A9" s="3" t="s">
        <v>258</v>
      </c>
      <c r="B9" s="4">
        <v>-61</v>
      </c>
      <c r="C9" s="4">
        <v>41</v>
      </c>
      <c r="D9" s="4">
        <v>-1.5</v>
      </c>
    </row>
    <row r="10" spans="1:4" x14ac:dyDescent="0.2">
      <c r="A10" s="3" t="s">
        <v>202</v>
      </c>
      <c r="B10" s="4">
        <v>-68</v>
      </c>
      <c r="C10" s="4">
        <v>39</v>
      </c>
      <c r="D10" s="4">
        <v>-1.7</v>
      </c>
    </row>
    <row r="11" spans="1:4" x14ac:dyDescent="0.2">
      <c r="A11" s="3" t="s">
        <v>56</v>
      </c>
      <c r="B11" s="4">
        <v>-500</v>
      </c>
      <c r="C11" s="4">
        <v>39</v>
      </c>
      <c r="D11" s="4">
        <v>-12.8</v>
      </c>
    </row>
    <row r="12" spans="1:4" x14ac:dyDescent="0.2">
      <c r="A12" s="3" t="s">
        <v>91</v>
      </c>
      <c r="B12" s="4">
        <v>-440</v>
      </c>
      <c r="C12" s="4">
        <v>39</v>
      </c>
      <c r="D12" s="4">
        <v>-11.3</v>
      </c>
    </row>
    <row r="13" spans="1:4" x14ac:dyDescent="0.2">
      <c r="A13" s="3" t="s">
        <v>241</v>
      </c>
      <c r="B13" s="4">
        <v>-48</v>
      </c>
      <c r="C13" s="4">
        <v>38</v>
      </c>
      <c r="D13" s="4">
        <v>-1.3</v>
      </c>
    </row>
    <row r="14" spans="1:4" x14ac:dyDescent="0.2">
      <c r="A14" s="3" t="s">
        <v>167</v>
      </c>
      <c r="B14" s="4">
        <v>-46</v>
      </c>
      <c r="C14" s="4">
        <v>38</v>
      </c>
      <c r="D14" s="4">
        <v>-1.2</v>
      </c>
    </row>
    <row r="15" spans="1:4" x14ac:dyDescent="0.2">
      <c r="A15" s="3" t="s">
        <v>265</v>
      </c>
      <c r="B15" s="4">
        <v>-52</v>
      </c>
      <c r="C15" s="4">
        <v>36</v>
      </c>
      <c r="D15" s="4">
        <v>-1.4</v>
      </c>
    </row>
    <row r="16" spans="1:4" x14ac:dyDescent="0.2">
      <c r="A16" s="3" t="s">
        <v>224</v>
      </c>
      <c r="B16" s="4">
        <v>-58</v>
      </c>
      <c r="C16" s="4">
        <v>36</v>
      </c>
      <c r="D16" s="4">
        <v>-1.6</v>
      </c>
    </row>
    <row r="17" spans="1:4" x14ac:dyDescent="0.2">
      <c r="A17" s="3" t="s">
        <v>55</v>
      </c>
      <c r="B17" s="4">
        <v>-650</v>
      </c>
      <c r="C17" s="4">
        <v>35</v>
      </c>
      <c r="D17" s="4">
        <v>-18.600000000000001</v>
      </c>
    </row>
    <row r="18" spans="1:4" x14ac:dyDescent="0.2">
      <c r="A18" s="3" t="s">
        <v>230</v>
      </c>
      <c r="B18" s="4">
        <v>-41</v>
      </c>
      <c r="C18" s="4">
        <v>34</v>
      </c>
      <c r="D18" s="4">
        <v>-1.2</v>
      </c>
    </row>
    <row r="19" spans="1:4" x14ac:dyDescent="0.2">
      <c r="A19" s="3" t="s">
        <v>95</v>
      </c>
      <c r="B19" s="4">
        <v>-550</v>
      </c>
      <c r="C19" s="4">
        <v>34</v>
      </c>
      <c r="D19" s="4">
        <v>-16.2</v>
      </c>
    </row>
    <row r="20" spans="1:4" x14ac:dyDescent="0.2">
      <c r="A20" s="3" t="s">
        <v>23</v>
      </c>
      <c r="B20" s="4">
        <v>-470</v>
      </c>
      <c r="C20" s="4">
        <v>34</v>
      </c>
      <c r="D20" s="4">
        <v>-13.8</v>
      </c>
    </row>
    <row r="21" spans="1:4" x14ac:dyDescent="0.2">
      <c r="A21" s="3" t="s">
        <v>2</v>
      </c>
      <c r="B21" s="4">
        <v>-339</v>
      </c>
      <c r="C21" s="4">
        <v>34</v>
      </c>
      <c r="D21" s="4">
        <v>-10</v>
      </c>
    </row>
    <row r="22" spans="1:4" x14ac:dyDescent="0.2">
      <c r="A22" s="3" t="s">
        <v>247</v>
      </c>
      <c r="B22" s="4">
        <v>-37</v>
      </c>
      <c r="C22" s="4">
        <v>34</v>
      </c>
      <c r="D22" s="4">
        <v>-1.1000000000000001</v>
      </c>
    </row>
    <row r="23" spans="1:4" x14ac:dyDescent="0.2">
      <c r="A23" s="3" t="s">
        <v>222</v>
      </c>
      <c r="B23" s="4">
        <v>-48</v>
      </c>
      <c r="C23" s="4">
        <v>33</v>
      </c>
      <c r="D23" s="4">
        <v>-1.5</v>
      </c>
    </row>
    <row r="24" spans="1:4" x14ac:dyDescent="0.2">
      <c r="A24" s="3" t="s">
        <v>266</v>
      </c>
      <c r="B24" s="4">
        <v>-53</v>
      </c>
      <c r="C24" s="4">
        <v>33</v>
      </c>
      <c r="D24" s="4">
        <v>-1.6</v>
      </c>
    </row>
    <row r="25" spans="1:4" x14ac:dyDescent="0.2">
      <c r="A25" s="3" t="s">
        <v>185</v>
      </c>
      <c r="B25" s="4">
        <v>-62</v>
      </c>
      <c r="C25" s="4">
        <v>32</v>
      </c>
      <c r="D25" s="4">
        <v>-1.9</v>
      </c>
    </row>
    <row r="26" spans="1:4" x14ac:dyDescent="0.2">
      <c r="A26" s="3" t="s">
        <v>255</v>
      </c>
      <c r="B26" s="4">
        <v>-32</v>
      </c>
      <c r="C26" s="4">
        <v>32</v>
      </c>
      <c r="D26" s="4">
        <v>-1</v>
      </c>
    </row>
    <row r="27" spans="1:4" x14ac:dyDescent="0.2">
      <c r="A27" s="3" t="s">
        <v>51</v>
      </c>
      <c r="B27" s="4">
        <v>-312</v>
      </c>
      <c r="C27" s="4">
        <v>32</v>
      </c>
      <c r="D27" s="4">
        <v>-9.8000000000000007</v>
      </c>
    </row>
    <row r="28" spans="1:4" x14ac:dyDescent="0.2">
      <c r="A28" s="3" t="s">
        <v>22</v>
      </c>
      <c r="B28" s="4">
        <v>-480</v>
      </c>
      <c r="C28" s="4">
        <v>31</v>
      </c>
      <c r="D28" s="4">
        <v>-15.5</v>
      </c>
    </row>
    <row r="29" spans="1:4" x14ac:dyDescent="0.2">
      <c r="A29" s="3" t="s">
        <v>223</v>
      </c>
      <c r="B29" s="4">
        <v>-39</v>
      </c>
      <c r="C29" s="4">
        <v>31</v>
      </c>
      <c r="D29" s="4">
        <v>-1.3</v>
      </c>
    </row>
    <row r="30" spans="1:4" x14ac:dyDescent="0.2">
      <c r="A30" s="3" t="s">
        <v>249</v>
      </c>
      <c r="B30" s="4">
        <v>-44</v>
      </c>
      <c r="C30" s="4">
        <v>30</v>
      </c>
      <c r="D30" s="4">
        <v>-1.5</v>
      </c>
    </row>
    <row r="31" spans="1:4" x14ac:dyDescent="0.2">
      <c r="A31" s="3" t="s">
        <v>173</v>
      </c>
      <c r="B31" s="4">
        <v>-55</v>
      </c>
      <c r="C31" s="4">
        <v>29</v>
      </c>
      <c r="D31" s="4">
        <v>-1.9</v>
      </c>
    </row>
    <row r="32" spans="1:4" x14ac:dyDescent="0.2">
      <c r="A32" s="3" t="s">
        <v>229</v>
      </c>
      <c r="B32" s="4">
        <v>-30</v>
      </c>
      <c r="C32" s="4">
        <v>28</v>
      </c>
      <c r="D32" s="4">
        <v>-1.1000000000000001</v>
      </c>
    </row>
    <row r="33" spans="1:4" x14ac:dyDescent="0.2">
      <c r="A33" s="3" t="s">
        <v>171</v>
      </c>
      <c r="B33" s="4">
        <v>-47</v>
      </c>
      <c r="C33" s="4">
        <v>28</v>
      </c>
      <c r="D33" s="4">
        <v>-1.7</v>
      </c>
    </row>
    <row r="34" spans="1:4" x14ac:dyDescent="0.2">
      <c r="A34" s="3" t="s">
        <v>203</v>
      </c>
      <c r="B34" s="4">
        <v>-28</v>
      </c>
      <c r="C34" s="4">
        <v>27</v>
      </c>
      <c r="D34" s="4">
        <v>-1</v>
      </c>
    </row>
    <row r="35" spans="1:4" x14ac:dyDescent="0.2">
      <c r="A35" s="3" t="s">
        <v>174</v>
      </c>
      <c r="B35" s="4">
        <v>-27</v>
      </c>
      <c r="C35" s="4">
        <v>27</v>
      </c>
      <c r="D35" s="4">
        <v>-1</v>
      </c>
    </row>
    <row r="36" spans="1:4" x14ac:dyDescent="0.2">
      <c r="A36" s="3" t="s">
        <v>211</v>
      </c>
      <c r="B36" s="4">
        <v>-50</v>
      </c>
      <c r="C36" s="4">
        <v>27</v>
      </c>
      <c r="D36" s="4">
        <v>-1.9</v>
      </c>
    </row>
    <row r="37" spans="1:4" x14ac:dyDescent="0.2">
      <c r="A37" s="3" t="s">
        <v>183</v>
      </c>
      <c r="B37" s="4">
        <v>-36</v>
      </c>
      <c r="C37" s="4">
        <v>25</v>
      </c>
      <c r="D37" s="4">
        <v>-1.4</v>
      </c>
    </row>
    <row r="38" spans="1:4" x14ac:dyDescent="0.2">
      <c r="A38" s="3" t="s">
        <v>161</v>
      </c>
      <c r="B38" s="4">
        <v>-37</v>
      </c>
      <c r="C38" s="4">
        <v>25</v>
      </c>
      <c r="D38" s="4">
        <v>-1.5</v>
      </c>
    </row>
    <row r="39" spans="1:4" x14ac:dyDescent="0.2">
      <c r="A39" s="3" t="s">
        <v>219</v>
      </c>
      <c r="B39" s="4">
        <v>-24</v>
      </c>
      <c r="C39" s="4">
        <v>24</v>
      </c>
      <c r="D39" s="4">
        <v>-1</v>
      </c>
    </row>
    <row r="40" spans="1:4" x14ac:dyDescent="0.2">
      <c r="A40" s="3" t="s">
        <v>243</v>
      </c>
      <c r="B40" s="4">
        <v>-24</v>
      </c>
      <c r="C40" s="4">
        <v>22</v>
      </c>
      <c r="D40" s="4">
        <v>-1.1000000000000001</v>
      </c>
    </row>
    <row r="41" spans="1:4" x14ac:dyDescent="0.2">
      <c r="A41" s="3" t="s">
        <v>200</v>
      </c>
      <c r="B41" s="4">
        <v>-35</v>
      </c>
      <c r="C41" s="4">
        <v>22</v>
      </c>
      <c r="D41" s="4">
        <v>-1.6</v>
      </c>
    </row>
    <row r="42" spans="1:4" x14ac:dyDescent="0.2">
      <c r="A42" s="3" t="s">
        <v>180</v>
      </c>
      <c r="B42" s="4">
        <v>-27</v>
      </c>
      <c r="C42" s="4">
        <v>22</v>
      </c>
      <c r="D42" s="4">
        <v>-1.2</v>
      </c>
    </row>
    <row r="43" spans="1:4" x14ac:dyDescent="0.2">
      <c r="A43" s="3" t="s">
        <v>194</v>
      </c>
      <c r="B43" s="4">
        <v>-29</v>
      </c>
      <c r="C43" s="4">
        <v>21</v>
      </c>
      <c r="D43" s="4">
        <v>-1.4</v>
      </c>
    </row>
    <row r="44" spans="1:4" x14ac:dyDescent="0.2">
      <c r="A44" s="3" t="s">
        <v>70</v>
      </c>
      <c r="B44" s="4">
        <v>-250</v>
      </c>
      <c r="C44" s="4">
        <v>21</v>
      </c>
      <c r="D44" s="4">
        <v>-11.9</v>
      </c>
    </row>
    <row r="45" spans="1:4" x14ac:dyDescent="0.2">
      <c r="A45" s="3" t="s">
        <v>37</v>
      </c>
      <c r="B45" s="4">
        <v>-170</v>
      </c>
      <c r="C45" s="4">
        <v>21</v>
      </c>
      <c r="D45" s="4">
        <v>-8.1</v>
      </c>
    </row>
    <row r="46" spans="1:4" x14ac:dyDescent="0.2">
      <c r="A46" s="3" t="s">
        <v>195</v>
      </c>
      <c r="B46" s="4">
        <v>-28</v>
      </c>
      <c r="C46" s="4">
        <v>21</v>
      </c>
      <c r="D46" s="4">
        <v>-1.3</v>
      </c>
    </row>
    <row r="47" spans="1:4" x14ac:dyDescent="0.2">
      <c r="A47" s="3" t="s">
        <v>216</v>
      </c>
      <c r="B47" s="4">
        <v>-21</v>
      </c>
      <c r="C47" s="4">
        <v>21</v>
      </c>
      <c r="D47" s="4">
        <v>-1</v>
      </c>
    </row>
    <row r="48" spans="1:4" x14ac:dyDescent="0.2">
      <c r="A48" s="3" t="s">
        <v>267</v>
      </c>
      <c r="B48" s="4">
        <v>-20</v>
      </c>
      <c r="C48" s="4">
        <v>20</v>
      </c>
      <c r="D48" s="4">
        <v>-1</v>
      </c>
    </row>
    <row r="49" spans="1:4" x14ac:dyDescent="0.2">
      <c r="A49" s="3" t="s">
        <v>191</v>
      </c>
      <c r="B49" s="4">
        <v>-20</v>
      </c>
      <c r="C49" s="4">
        <v>20</v>
      </c>
      <c r="D49" s="4">
        <v>-1</v>
      </c>
    </row>
    <row r="50" spans="1:4" x14ac:dyDescent="0.2">
      <c r="A50" s="3" t="s">
        <v>268</v>
      </c>
      <c r="B50" s="4">
        <v>-32</v>
      </c>
      <c r="C50" s="4">
        <v>20</v>
      </c>
      <c r="D50" s="4">
        <v>-1.6</v>
      </c>
    </row>
    <row r="51" spans="1:4" x14ac:dyDescent="0.2">
      <c r="A51" s="3" t="s">
        <v>269</v>
      </c>
      <c r="B51" s="4">
        <v>-43</v>
      </c>
      <c r="C51" s="4">
        <v>20</v>
      </c>
      <c r="D51" s="4">
        <v>-2.2000000000000002</v>
      </c>
    </row>
    <row r="52" spans="1:4" x14ac:dyDescent="0.2">
      <c r="A52" s="3" t="s">
        <v>148</v>
      </c>
      <c r="B52" s="4">
        <v>-26</v>
      </c>
      <c r="C52" s="4">
        <v>19</v>
      </c>
      <c r="D52" s="4">
        <v>-1.4</v>
      </c>
    </row>
    <row r="53" spans="1:4" x14ac:dyDescent="0.2">
      <c r="A53" s="3" t="s">
        <v>178</v>
      </c>
      <c r="B53" s="4">
        <v>-25</v>
      </c>
      <c r="C53" s="4">
        <v>19</v>
      </c>
      <c r="D53" s="4">
        <v>-1.3</v>
      </c>
    </row>
    <row r="54" spans="1:4" x14ac:dyDescent="0.2">
      <c r="A54" s="3" t="s">
        <v>176</v>
      </c>
      <c r="B54" s="4">
        <v>-19</v>
      </c>
      <c r="C54" s="4">
        <v>18</v>
      </c>
      <c r="D54" s="4">
        <v>-1.1000000000000001</v>
      </c>
    </row>
    <row r="55" spans="1:4" x14ac:dyDescent="0.2">
      <c r="A55" s="3" t="s">
        <v>109</v>
      </c>
      <c r="B55" s="4">
        <v>-230</v>
      </c>
      <c r="C55" s="4">
        <v>18</v>
      </c>
      <c r="D55" s="4">
        <v>-12.8</v>
      </c>
    </row>
    <row r="56" spans="1:4" x14ac:dyDescent="0.2">
      <c r="A56" s="3" t="s">
        <v>270</v>
      </c>
      <c r="B56" s="4">
        <v>-18</v>
      </c>
      <c r="C56" s="4">
        <v>18</v>
      </c>
      <c r="D56" s="4">
        <v>-1</v>
      </c>
    </row>
    <row r="57" spans="1:4" x14ac:dyDescent="0.2">
      <c r="A57" s="3" t="s">
        <v>0</v>
      </c>
      <c r="B57" s="4">
        <v>-290</v>
      </c>
      <c r="C57" s="4">
        <v>17</v>
      </c>
      <c r="D57" s="4">
        <v>-17.100000000000001</v>
      </c>
    </row>
    <row r="58" spans="1:4" x14ac:dyDescent="0.2">
      <c r="A58" s="3" t="s">
        <v>215</v>
      </c>
      <c r="B58" s="4">
        <v>-17</v>
      </c>
      <c r="C58" s="4">
        <v>17</v>
      </c>
      <c r="D58" s="4">
        <v>-1</v>
      </c>
    </row>
    <row r="59" spans="1:4" x14ac:dyDescent="0.2">
      <c r="A59" s="3" t="s">
        <v>235</v>
      </c>
      <c r="B59" s="4">
        <v>-22</v>
      </c>
      <c r="C59" s="4">
        <v>17</v>
      </c>
      <c r="D59" s="4">
        <v>-1.3</v>
      </c>
    </row>
    <row r="60" spans="1:4" x14ac:dyDescent="0.2">
      <c r="A60" s="3" t="s">
        <v>242</v>
      </c>
      <c r="B60" s="4">
        <v>-16</v>
      </c>
      <c r="C60" s="4">
        <v>16</v>
      </c>
      <c r="D60" s="4">
        <v>-1</v>
      </c>
    </row>
    <row r="61" spans="1:4" x14ac:dyDescent="0.2">
      <c r="A61" s="3" t="s">
        <v>50</v>
      </c>
      <c r="B61" s="4">
        <v>-131</v>
      </c>
      <c r="C61" s="4">
        <v>16</v>
      </c>
      <c r="D61" s="4">
        <v>-8.1999999999999993</v>
      </c>
    </row>
    <row r="62" spans="1:4" x14ac:dyDescent="0.2">
      <c r="A62" s="3" t="s">
        <v>165</v>
      </c>
      <c r="B62" s="4">
        <v>-20</v>
      </c>
      <c r="C62" s="4">
        <v>16</v>
      </c>
      <c r="D62" s="4">
        <v>-1.3</v>
      </c>
    </row>
    <row r="63" spans="1:4" x14ac:dyDescent="0.2">
      <c r="A63" s="3" t="s">
        <v>262</v>
      </c>
      <c r="B63" s="4">
        <v>-19</v>
      </c>
      <c r="C63" s="4">
        <v>15</v>
      </c>
      <c r="D63" s="4">
        <v>-1.3</v>
      </c>
    </row>
    <row r="64" spans="1:4" x14ac:dyDescent="0.2">
      <c r="A64" s="3" t="s">
        <v>271</v>
      </c>
      <c r="B64" s="4">
        <v>-37</v>
      </c>
      <c r="C64" s="4">
        <v>15</v>
      </c>
      <c r="D64" s="4">
        <v>-2.5</v>
      </c>
    </row>
    <row r="65" spans="1:4" x14ac:dyDescent="0.2">
      <c r="A65" s="3" t="s">
        <v>112</v>
      </c>
      <c r="B65" s="4">
        <v>-46</v>
      </c>
      <c r="C65" s="4">
        <v>15</v>
      </c>
      <c r="D65" s="4">
        <v>-3.1</v>
      </c>
    </row>
    <row r="66" spans="1:4" x14ac:dyDescent="0.2">
      <c r="A66" s="3" t="s">
        <v>264</v>
      </c>
      <c r="B66" s="4">
        <v>-15</v>
      </c>
      <c r="C66" s="4">
        <v>15</v>
      </c>
      <c r="D66" s="4">
        <v>-1</v>
      </c>
    </row>
    <row r="67" spans="1:4" x14ac:dyDescent="0.2">
      <c r="A67" s="3" t="s">
        <v>272</v>
      </c>
      <c r="B67" s="4">
        <v>-17</v>
      </c>
      <c r="C67" s="4">
        <v>14</v>
      </c>
      <c r="D67" s="4">
        <v>-1.2</v>
      </c>
    </row>
    <row r="68" spans="1:4" x14ac:dyDescent="0.2">
      <c r="A68" s="3" t="s">
        <v>78</v>
      </c>
      <c r="B68" s="4">
        <v>-200</v>
      </c>
      <c r="C68" s="4">
        <v>14</v>
      </c>
      <c r="D68" s="4">
        <v>-14.3</v>
      </c>
    </row>
    <row r="69" spans="1:4" x14ac:dyDescent="0.2">
      <c r="A69" s="3" t="s">
        <v>273</v>
      </c>
      <c r="B69" s="4">
        <v>-27</v>
      </c>
      <c r="C69" s="4">
        <v>14</v>
      </c>
      <c r="D69" s="4">
        <v>-1.9</v>
      </c>
    </row>
    <row r="70" spans="1:4" x14ac:dyDescent="0.2">
      <c r="A70" s="3" t="s">
        <v>225</v>
      </c>
      <c r="B70" s="4">
        <v>-20</v>
      </c>
      <c r="C70" s="4">
        <v>14</v>
      </c>
      <c r="D70" s="4">
        <v>-1.4</v>
      </c>
    </row>
    <row r="71" spans="1:4" x14ac:dyDescent="0.2">
      <c r="A71" s="3" t="s">
        <v>64</v>
      </c>
      <c r="B71" s="4">
        <v>-170</v>
      </c>
      <c r="C71" s="4">
        <v>14</v>
      </c>
      <c r="D71" s="4">
        <v>-12.1</v>
      </c>
    </row>
    <row r="72" spans="1:4" x14ac:dyDescent="0.2">
      <c r="A72" s="3" t="s">
        <v>61</v>
      </c>
      <c r="B72" s="4">
        <v>-200</v>
      </c>
      <c r="C72" s="4">
        <v>14</v>
      </c>
      <c r="D72" s="4">
        <v>-14.3</v>
      </c>
    </row>
    <row r="73" spans="1:4" x14ac:dyDescent="0.2">
      <c r="A73" s="3" t="s">
        <v>274</v>
      </c>
      <c r="B73" s="4">
        <v>-44</v>
      </c>
      <c r="C73" s="4">
        <v>13</v>
      </c>
      <c r="D73" s="4">
        <v>-3.4</v>
      </c>
    </row>
    <row r="74" spans="1:4" x14ac:dyDescent="0.2">
      <c r="A74" s="3" t="s">
        <v>246</v>
      </c>
      <c r="B74" s="4">
        <v>-13</v>
      </c>
      <c r="C74" s="4">
        <v>13</v>
      </c>
      <c r="D74" s="4">
        <v>-1</v>
      </c>
    </row>
    <row r="75" spans="1:4" x14ac:dyDescent="0.2">
      <c r="A75" s="3" t="s">
        <v>275</v>
      </c>
      <c r="B75" s="4">
        <v>-20</v>
      </c>
      <c r="C75" s="4">
        <v>13</v>
      </c>
      <c r="D75" s="4">
        <v>-1.5</v>
      </c>
    </row>
    <row r="76" spans="1:4" x14ac:dyDescent="0.2">
      <c r="A76" s="3" t="s">
        <v>47</v>
      </c>
      <c r="B76" s="4">
        <v>-112</v>
      </c>
      <c r="C76" s="4">
        <v>13</v>
      </c>
      <c r="D76" s="4">
        <v>-8.6</v>
      </c>
    </row>
    <row r="77" spans="1:4" x14ac:dyDescent="0.2">
      <c r="A77" s="3" t="s">
        <v>257</v>
      </c>
      <c r="B77" s="4">
        <v>-13</v>
      </c>
      <c r="C77" s="4">
        <v>13</v>
      </c>
      <c r="D77" s="4">
        <v>-1</v>
      </c>
    </row>
    <row r="78" spans="1:4" x14ac:dyDescent="0.2">
      <c r="A78" s="3" t="s">
        <v>150</v>
      </c>
      <c r="B78" s="4">
        <v>-13</v>
      </c>
      <c r="C78" s="4">
        <v>13</v>
      </c>
      <c r="D78" s="4">
        <v>-1</v>
      </c>
    </row>
    <row r="79" spans="1:4" x14ac:dyDescent="0.2">
      <c r="A79" s="3" t="s">
        <v>276</v>
      </c>
      <c r="B79" s="4">
        <v>-12</v>
      </c>
      <c r="C79" s="4">
        <v>12</v>
      </c>
      <c r="D79" s="4">
        <v>-1</v>
      </c>
    </row>
    <row r="80" spans="1:4" x14ac:dyDescent="0.2">
      <c r="A80" s="3" t="s">
        <v>236</v>
      </c>
      <c r="B80" s="4">
        <v>-25</v>
      </c>
      <c r="C80" s="4">
        <v>12</v>
      </c>
      <c r="D80" s="4">
        <v>-2.1</v>
      </c>
    </row>
    <row r="81" spans="1:4" x14ac:dyDescent="0.2">
      <c r="A81" s="3" t="s">
        <v>159</v>
      </c>
      <c r="B81" s="4">
        <v>-22</v>
      </c>
      <c r="C81" s="4">
        <v>12</v>
      </c>
      <c r="D81" s="4">
        <v>-1.8</v>
      </c>
    </row>
    <row r="82" spans="1:4" x14ac:dyDescent="0.2">
      <c r="A82" s="3" t="s">
        <v>206</v>
      </c>
      <c r="B82" s="4">
        <v>-16</v>
      </c>
      <c r="C82" s="4">
        <v>12</v>
      </c>
      <c r="D82" s="4">
        <v>-1.3</v>
      </c>
    </row>
    <row r="83" spans="1:4" x14ac:dyDescent="0.2">
      <c r="A83" s="3" t="s">
        <v>277</v>
      </c>
      <c r="B83" s="4">
        <v>-44</v>
      </c>
      <c r="C83" s="4">
        <v>12</v>
      </c>
      <c r="D83" s="4">
        <v>-3.7</v>
      </c>
    </row>
    <row r="84" spans="1:4" x14ac:dyDescent="0.2">
      <c r="A84" s="3" t="s">
        <v>25</v>
      </c>
      <c r="B84" s="4">
        <v>-170</v>
      </c>
      <c r="C84" s="4">
        <v>12</v>
      </c>
      <c r="D84" s="4">
        <v>-14.2</v>
      </c>
    </row>
    <row r="85" spans="1:4" x14ac:dyDescent="0.2">
      <c r="A85" s="3" t="s">
        <v>278</v>
      </c>
      <c r="B85" s="4">
        <v>-37</v>
      </c>
      <c r="C85" s="4">
        <v>12</v>
      </c>
      <c r="D85" s="4">
        <v>-3.1</v>
      </c>
    </row>
    <row r="86" spans="1:4" x14ac:dyDescent="0.2">
      <c r="A86" s="3" t="s">
        <v>279</v>
      </c>
      <c r="B86" s="4">
        <v>-27</v>
      </c>
      <c r="C86" s="4">
        <v>12</v>
      </c>
      <c r="D86" s="4">
        <v>-2.2999999999999998</v>
      </c>
    </row>
    <row r="87" spans="1:4" x14ac:dyDescent="0.2">
      <c r="A87" s="3" t="s">
        <v>280</v>
      </c>
      <c r="B87" s="4">
        <v>-12</v>
      </c>
      <c r="C87" s="4">
        <v>12</v>
      </c>
      <c r="D87" s="4">
        <v>-1</v>
      </c>
    </row>
    <row r="88" spans="1:4" x14ac:dyDescent="0.2">
      <c r="A88" s="3" t="s">
        <v>210</v>
      </c>
      <c r="B88" s="4">
        <v>-19</v>
      </c>
      <c r="C88" s="4">
        <v>12</v>
      </c>
      <c r="D88" s="4">
        <v>-1.6</v>
      </c>
    </row>
    <row r="89" spans="1:4" x14ac:dyDescent="0.2">
      <c r="A89" s="3" t="s">
        <v>281</v>
      </c>
      <c r="B89" s="4">
        <v>-14</v>
      </c>
      <c r="C89" s="4">
        <v>12</v>
      </c>
      <c r="D89" s="4">
        <v>-1.2</v>
      </c>
    </row>
    <row r="90" spans="1:4" x14ac:dyDescent="0.2">
      <c r="A90" s="3" t="s">
        <v>240</v>
      </c>
      <c r="B90" s="4">
        <v>-13</v>
      </c>
      <c r="C90" s="4">
        <v>12</v>
      </c>
      <c r="D90" s="4">
        <v>-1.1000000000000001</v>
      </c>
    </row>
    <row r="91" spans="1:4" x14ac:dyDescent="0.2">
      <c r="A91" s="3" t="s">
        <v>282</v>
      </c>
      <c r="B91" s="4">
        <v>-79</v>
      </c>
      <c r="C91" s="4">
        <v>12</v>
      </c>
      <c r="D91" s="4">
        <v>-6.6</v>
      </c>
    </row>
    <row r="92" spans="1:4" x14ac:dyDescent="0.2">
      <c r="A92" s="3" t="s">
        <v>245</v>
      </c>
      <c r="B92" s="4">
        <v>-13</v>
      </c>
      <c r="C92" s="4">
        <v>12</v>
      </c>
      <c r="D92" s="4">
        <v>-1.1000000000000001</v>
      </c>
    </row>
    <row r="93" spans="1:4" x14ac:dyDescent="0.2">
      <c r="A93" s="3" t="s">
        <v>214</v>
      </c>
      <c r="B93" s="4">
        <v>-15</v>
      </c>
      <c r="C93" s="4">
        <v>12</v>
      </c>
      <c r="D93" s="4">
        <v>-1.3</v>
      </c>
    </row>
    <row r="94" spans="1:4" x14ac:dyDescent="0.2">
      <c r="A94" s="3" t="s">
        <v>58</v>
      </c>
      <c r="B94" s="4">
        <v>-120</v>
      </c>
      <c r="C94" s="4">
        <v>11</v>
      </c>
      <c r="D94" s="4">
        <v>-10.9</v>
      </c>
    </row>
    <row r="95" spans="1:4" x14ac:dyDescent="0.2">
      <c r="A95" s="3" t="s">
        <v>283</v>
      </c>
      <c r="B95" s="4">
        <v>-14</v>
      </c>
      <c r="C95" s="4">
        <v>11</v>
      </c>
      <c r="D95" s="4">
        <v>-1.3</v>
      </c>
    </row>
    <row r="96" spans="1:4" x14ac:dyDescent="0.2">
      <c r="A96" s="3" t="s">
        <v>29</v>
      </c>
      <c r="B96" s="4">
        <v>-118</v>
      </c>
      <c r="C96" s="4">
        <v>11</v>
      </c>
      <c r="D96" s="4">
        <v>-10.7</v>
      </c>
    </row>
    <row r="97" spans="1:4" x14ac:dyDescent="0.2">
      <c r="A97" s="3" t="s">
        <v>128</v>
      </c>
      <c r="B97" s="4">
        <v>-220</v>
      </c>
      <c r="C97" s="4">
        <v>11</v>
      </c>
      <c r="D97" s="4">
        <v>-20</v>
      </c>
    </row>
    <row r="98" spans="1:4" x14ac:dyDescent="0.2">
      <c r="A98" s="3" t="s">
        <v>284</v>
      </c>
      <c r="B98" s="4">
        <v>-11</v>
      </c>
      <c r="C98" s="4">
        <v>11</v>
      </c>
      <c r="D98" s="4">
        <v>-1</v>
      </c>
    </row>
    <row r="99" spans="1:4" x14ac:dyDescent="0.2">
      <c r="A99" s="3" t="s">
        <v>89</v>
      </c>
      <c r="B99" s="4">
        <v>-140</v>
      </c>
      <c r="C99" s="4">
        <v>11</v>
      </c>
      <c r="D99" s="4">
        <v>-12.7</v>
      </c>
    </row>
    <row r="100" spans="1:4" x14ac:dyDescent="0.2">
      <c r="A100" s="3" t="s">
        <v>84</v>
      </c>
      <c r="B100" s="4">
        <v>-140</v>
      </c>
      <c r="C100" s="4">
        <v>11</v>
      </c>
      <c r="D100" s="4">
        <v>-12.7</v>
      </c>
    </row>
    <row r="101" spans="1:4" x14ac:dyDescent="0.2">
      <c r="A101" s="3" t="s">
        <v>72</v>
      </c>
      <c r="B101" s="4">
        <v>-119</v>
      </c>
      <c r="C101" s="4">
        <v>10</v>
      </c>
      <c r="D101" s="4">
        <v>-11.9</v>
      </c>
    </row>
    <row r="102" spans="1:4" x14ac:dyDescent="0.2">
      <c r="A102" s="3" t="s">
        <v>119</v>
      </c>
      <c r="B102" s="4">
        <v>-110</v>
      </c>
      <c r="C102" s="4">
        <v>10</v>
      </c>
      <c r="D102" s="4">
        <v>-11</v>
      </c>
    </row>
    <row r="103" spans="1:4" x14ac:dyDescent="0.2">
      <c r="A103" s="3" t="s">
        <v>208</v>
      </c>
      <c r="B103" s="4">
        <v>-12</v>
      </c>
      <c r="C103" s="4">
        <v>10</v>
      </c>
      <c r="D103" s="4">
        <v>-1.2</v>
      </c>
    </row>
    <row r="104" spans="1:4" x14ac:dyDescent="0.2">
      <c r="A104" s="3" t="s">
        <v>248</v>
      </c>
      <c r="B104" s="4">
        <v>-12</v>
      </c>
      <c r="C104" s="4">
        <v>10</v>
      </c>
      <c r="D104" s="4">
        <v>-1.2</v>
      </c>
    </row>
    <row r="105" spans="1:4" x14ac:dyDescent="0.2">
      <c r="A105" s="3" t="s">
        <v>102</v>
      </c>
      <c r="B105" s="4">
        <v>-120</v>
      </c>
      <c r="C105" s="4">
        <v>10</v>
      </c>
      <c r="D105" s="4">
        <v>-12</v>
      </c>
    </row>
    <row r="106" spans="1:4" x14ac:dyDescent="0.2">
      <c r="A106" s="3" t="s">
        <v>65</v>
      </c>
      <c r="B106" s="4">
        <v>-110</v>
      </c>
      <c r="C106" s="4">
        <v>10</v>
      </c>
      <c r="D106" s="4">
        <v>-11</v>
      </c>
    </row>
    <row r="107" spans="1:4" x14ac:dyDescent="0.2">
      <c r="A107" s="3" t="s">
        <v>234</v>
      </c>
      <c r="B107" s="4">
        <v>-18</v>
      </c>
      <c r="C107" s="4">
        <v>10</v>
      </c>
      <c r="D107" s="4">
        <v>-1.8</v>
      </c>
    </row>
    <row r="108" spans="1:4" x14ac:dyDescent="0.2">
      <c r="A108" s="3" t="s">
        <v>127</v>
      </c>
      <c r="B108" s="4">
        <v>-130</v>
      </c>
      <c r="C108" s="4">
        <v>10</v>
      </c>
      <c r="D108" s="4">
        <v>-13</v>
      </c>
    </row>
    <row r="109" spans="1:4" x14ac:dyDescent="0.2">
      <c r="A109" s="3" t="s">
        <v>93</v>
      </c>
      <c r="B109" s="4">
        <v>-110</v>
      </c>
      <c r="C109" s="4">
        <v>9</v>
      </c>
      <c r="D109" s="4">
        <v>-12.2</v>
      </c>
    </row>
    <row r="110" spans="1:4" x14ac:dyDescent="0.2">
      <c r="A110" s="3" t="s">
        <v>38</v>
      </c>
      <c r="B110" s="4">
        <v>-100</v>
      </c>
      <c r="C110" s="4">
        <v>9</v>
      </c>
      <c r="D110" s="4">
        <v>-11.1</v>
      </c>
    </row>
    <row r="111" spans="1:4" x14ac:dyDescent="0.2">
      <c r="A111" s="3" t="s">
        <v>285</v>
      </c>
      <c r="B111" s="4">
        <v>-10</v>
      </c>
      <c r="C111" s="4">
        <v>9</v>
      </c>
      <c r="D111" s="4">
        <v>-1.1000000000000001</v>
      </c>
    </row>
    <row r="112" spans="1:4" x14ac:dyDescent="0.2">
      <c r="A112" s="3" t="s">
        <v>130</v>
      </c>
      <c r="B112" s="4">
        <v>-90</v>
      </c>
      <c r="C112" s="4">
        <v>9</v>
      </c>
      <c r="D112" s="4">
        <v>-10</v>
      </c>
    </row>
    <row r="113" spans="1:4" x14ac:dyDescent="0.2">
      <c r="A113" s="3" t="s">
        <v>260</v>
      </c>
      <c r="B113" s="4">
        <v>-9</v>
      </c>
      <c r="C113" s="4">
        <v>9</v>
      </c>
      <c r="D113" s="4">
        <v>-1</v>
      </c>
    </row>
    <row r="114" spans="1:4" x14ac:dyDescent="0.2">
      <c r="A114" s="3" t="s">
        <v>250</v>
      </c>
      <c r="B114" s="4">
        <v>-9</v>
      </c>
      <c r="C114" s="4">
        <v>9</v>
      </c>
      <c r="D114" s="4">
        <v>-1</v>
      </c>
    </row>
    <row r="115" spans="1:4" x14ac:dyDescent="0.2">
      <c r="A115" s="3" t="s">
        <v>42</v>
      </c>
      <c r="B115" s="4">
        <v>-97</v>
      </c>
      <c r="C115" s="4">
        <v>9</v>
      </c>
      <c r="D115" s="4">
        <v>-10.8</v>
      </c>
    </row>
    <row r="116" spans="1:4" x14ac:dyDescent="0.2">
      <c r="A116" s="3" t="s">
        <v>82</v>
      </c>
      <c r="B116" s="4">
        <v>-130</v>
      </c>
      <c r="C116" s="4">
        <v>9</v>
      </c>
      <c r="D116" s="4">
        <v>-14.4</v>
      </c>
    </row>
    <row r="117" spans="1:4" x14ac:dyDescent="0.2">
      <c r="A117" s="3" t="s">
        <v>286</v>
      </c>
      <c r="B117" s="4">
        <v>-11</v>
      </c>
      <c r="C117" s="4">
        <v>8</v>
      </c>
      <c r="D117" s="4">
        <v>-1.4</v>
      </c>
    </row>
    <row r="118" spans="1:4" x14ac:dyDescent="0.2">
      <c r="A118" s="3" t="s">
        <v>204</v>
      </c>
      <c r="B118" s="4">
        <v>-11</v>
      </c>
      <c r="C118" s="4">
        <v>8</v>
      </c>
      <c r="D118" s="4">
        <v>-1.4</v>
      </c>
    </row>
    <row r="119" spans="1:4" x14ac:dyDescent="0.2">
      <c r="A119" s="3" t="s">
        <v>287</v>
      </c>
      <c r="B119" s="4">
        <v>-8</v>
      </c>
      <c r="C119" s="4">
        <v>8</v>
      </c>
      <c r="D119" s="4">
        <v>-1</v>
      </c>
    </row>
    <row r="120" spans="1:4" x14ac:dyDescent="0.2">
      <c r="A120" s="3" t="s">
        <v>62</v>
      </c>
      <c r="B120" s="4">
        <v>-80</v>
      </c>
      <c r="C120" s="4">
        <v>8</v>
      </c>
      <c r="D120" s="4">
        <v>-10</v>
      </c>
    </row>
    <row r="121" spans="1:4" x14ac:dyDescent="0.2">
      <c r="A121" s="3" t="s">
        <v>288</v>
      </c>
      <c r="B121" s="4">
        <v>-8</v>
      </c>
      <c r="C121" s="4">
        <v>8</v>
      </c>
      <c r="D121" s="4">
        <v>-1</v>
      </c>
    </row>
    <row r="122" spans="1:4" x14ac:dyDescent="0.2">
      <c r="A122" s="3" t="s">
        <v>68</v>
      </c>
      <c r="B122" s="4">
        <v>-120</v>
      </c>
      <c r="C122" s="4">
        <v>8</v>
      </c>
      <c r="D122" s="4">
        <v>-15</v>
      </c>
    </row>
    <row r="123" spans="1:4" x14ac:dyDescent="0.2">
      <c r="A123" s="3" t="s">
        <v>166</v>
      </c>
      <c r="B123" s="4">
        <v>-12</v>
      </c>
      <c r="C123" s="4">
        <v>8</v>
      </c>
      <c r="D123" s="4">
        <v>-1.5</v>
      </c>
    </row>
    <row r="124" spans="1:4" x14ac:dyDescent="0.2">
      <c r="A124" s="3" t="s">
        <v>9</v>
      </c>
      <c r="B124" s="4">
        <v>-114</v>
      </c>
      <c r="C124" s="4">
        <v>8</v>
      </c>
      <c r="D124" s="4">
        <v>-14.3</v>
      </c>
    </row>
    <row r="125" spans="1:4" x14ac:dyDescent="0.2">
      <c r="A125" s="3" t="s">
        <v>289</v>
      </c>
      <c r="B125" s="4">
        <v>-9</v>
      </c>
      <c r="C125" s="4">
        <v>8</v>
      </c>
      <c r="D125" s="4">
        <v>-1.1000000000000001</v>
      </c>
    </row>
    <row r="126" spans="1:4" x14ac:dyDescent="0.2">
      <c r="A126" s="3" t="s">
        <v>94</v>
      </c>
      <c r="B126" s="4">
        <v>-60</v>
      </c>
      <c r="C126" s="4">
        <v>8</v>
      </c>
      <c r="D126" s="4">
        <v>-7.5</v>
      </c>
    </row>
    <row r="127" spans="1:4" x14ac:dyDescent="0.2">
      <c r="A127" s="3" t="s">
        <v>252</v>
      </c>
      <c r="B127" s="4">
        <v>-9</v>
      </c>
      <c r="C127" s="4">
        <v>8</v>
      </c>
      <c r="D127" s="4">
        <v>-1.1000000000000001</v>
      </c>
    </row>
    <row r="128" spans="1:4" x14ac:dyDescent="0.2">
      <c r="A128" s="3" t="s">
        <v>237</v>
      </c>
      <c r="B128" s="4">
        <v>-9</v>
      </c>
      <c r="C128" s="4">
        <v>8</v>
      </c>
      <c r="D128" s="4">
        <v>-1.1000000000000001</v>
      </c>
    </row>
    <row r="129" spans="1:4" x14ac:dyDescent="0.2">
      <c r="A129" s="3" t="s">
        <v>290</v>
      </c>
      <c r="B129" s="4">
        <v>-8</v>
      </c>
      <c r="C129" s="4">
        <v>8</v>
      </c>
      <c r="D129" s="4">
        <v>-1</v>
      </c>
    </row>
    <row r="130" spans="1:4" x14ac:dyDescent="0.2">
      <c r="A130" s="3" t="s">
        <v>105</v>
      </c>
      <c r="B130" s="4">
        <v>-60</v>
      </c>
      <c r="C130" s="4">
        <v>8</v>
      </c>
      <c r="D130" s="4">
        <v>-7.5</v>
      </c>
    </row>
    <row r="131" spans="1:4" x14ac:dyDescent="0.2">
      <c r="A131" s="3" t="s">
        <v>80</v>
      </c>
      <c r="B131" s="4">
        <v>-80</v>
      </c>
      <c r="C131" s="4">
        <v>7</v>
      </c>
      <c r="D131" s="4">
        <v>-11.4</v>
      </c>
    </row>
    <row r="132" spans="1:4" x14ac:dyDescent="0.2">
      <c r="A132" s="3" t="s">
        <v>122</v>
      </c>
      <c r="B132" s="4">
        <v>-90</v>
      </c>
      <c r="C132" s="4">
        <v>7</v>
      </c>
      <c r="D132" s="4">
        <v>-12.9</v>
      </c>
    </row>
    <row r="133" spans="1:4" x14ac:dyDescent="0.2">
      <c r="A133" s="3" t="s">
        <v>291</v>
      </c>
      <c r="B133" s="4">
        <v>-7</v>
      </c>
      <c r="C133" s="4">
        <v>7</v>
      </c>
      <c r="D133" s="4">
        <v>-1</v>
      </c>
    </row>
    <row r="134" spans="1:4" x14ac:dyDescent="0.2">
      <c r="A134" s="3" t="s">
        <v>292</v>
      </c>
      <c r="B134" s="4">
        <v>-29</v>
      </c>
      <c r="C134" s="4">
        <v>7</v>
      </c>
      <c r="D134" s="4">
        <v>-4.0999999999999996</v>
      </c>
    </row>
    <row r="135" spans="1:4" x14ac:dyDescent="0.2">
      <c r="A135" s="3" t="s">
        <v>293</v>
      </c>
      <c r="B135" s="4">
        <v>-14</v>
      </c>
      <c r="C135" s="4">
        <v>7</v>
      </c>
      <c r="D135" s="4">
        <v>-2</v>
      </c>
    </row>
    <row r="136" spans="1:4" x14ac:dyDescent="0.2">
      <c r="A136" s="3" t="s">
        <v>162</v>
      </c>
      <c r="B136" s="4">
        <v>-8</v>
      </c>
      <c r="C136" s="4">
        <v>7</v>
      </c>
      <c r="D136" s="4">
        <v>-1.1000000000000001</v>
      </c>
    </row>
    <row r="137" spans="1:4" x14ac:dyDescent="0.2">
      <c r="A137" s="3" t="s">
        <v>294</v>
      </c>
      <c r="B137" s="4">
        <v>-8</v>
      </c>
      <c r="C137" s="4">
        <v>7</v>
      </c>
      <c r="D137" s="4">
        <v>-1.1000000000000001</v>
      </c>
    </row>
    <row r="138" spans="1:4" x14ac:dyDescent="0.2">
      <c r="A138" s="3" t="s">
        <v>31</v>
      </c>
      <c r="B138" s="4">
        <v>-80</v>
      </c>
      <c r="C138" s="4">
        <v>7</v>
      </c>
      <c r="D138" s="4">
        <v>-11.4</v>
      </c>
    </row>
    <row r="139" spans="1:4" x14ac:dyDescent="0.2">
      <c r="A139" s="3" t="s">
        <v>295</v>
      </c>
      <c r="B139" s="4">
        <v>-7</v>
      </c>
      <c r="C139" s="4">
        <v>7</v>
      </c>
      <c r="D139" s="4">
        <v>-1</v>
      </c>
    </row>
    <row r="140" spans="1:4" x14ac:dyDescent="0.2">
      <c r="A140" s="3" t="s">
        <v>296</v>
      </c>
      <c r="B140" s="4">
        <v>-33</v>
      </c>
      <c r="C140" s="4">
        <v>7</v>
      </c>
      <c r="D140" s="4">
        <v>-4.7</v>
      </c>
    </row>
    <row r="141" spans="1:4" x14ac:dyDescent="0.2">
      <c r="A141" s="3" t="s">
        <v>297</v>
      </c>
      <c r="B141" s="4">
        <v>-9</v>
      </c>
      <c r="C141" s="4">
        <v>7</v>
      </c>
      <c r="D141" s="4">
        <v>-1.3</v>
      </c>
    </row>
    <row r="142" spans="1:4" x14ac:dyDescent="0.2">
      <c r="A142" s="3" t="s">
        <v>134</v>
      </c>
      <c r="B142" s="4">
        <v>-80</v>
      </c>
      <c r="C142" s="4">
        <v>7</v>
      </c>
      <c r="D142" s="4">
        <v>-11.4</v>
      </c>
    </row>
    <row r="143" spans="1:4" x14ac:dyDescent="0.2">
      <c r="A143" s="3" t="s">
        <v>298</v>
      </c>
      <c r="B143" s="4">
        <v>-7</v>
      </c>
      <c r="C143" s="4">
        <v>7</v>
      </c>
      <c r="D143" s="4">
        <v>-1</v>
      </c>
    </row>
    <row r="144" spans="1:4" x14ac:dyDescent="0.2">
      <c r="A144" s="3" t="s">
        <v>299</v>
      </c>
      <c r="B144" s="4">
        <v>-12</v>
      </c>
      <c r="C144" s="4">
        <v>7</v>
      </c>
      <c r="D144" s="4">
        <v>-1.7</v>
      </c>
    </row>
    <row r="145" spans="1:4" x14ac:dyDescent="0.2">
      <c r="A145" s="3" t="s">
        <v>7</v>
      </c>
      <c r="B145" s="4">
        <v>-75</v>
      </c>
      <c r="C145" s="4">
        <v>7</v>
      </c>
      <c r="D145" s="4">
        <v>-10.7</v>
      </c>
    </row>
    <row r="146" spans="1:4" x14ac:dyDescent="0.2">
      <c r="A146" s="3" t="s">
        <v>76</v>
      </c>
      <c r="B146" s="4">
        <v>-120</v>
      </c>
      <c r="C146" s="4">
        <v>7</v>
      </c>
      <c r="D146" s="4">
        <v>-17.100000000000001</v>
      </c>
    </row>
    <row r="147" spans="1:4" x14ac:dyDescent="0.2">
      <c r="A147" s="3" t="s">
        <v>232</v>
      </c>
      <c r="B147" s="4">
        <v>-7</v>
      </c>
      <c r="C147" s="4">
        <v>7</v>
      </c>
      <c r="D147" s="4">
        <v>-1</v>
      </c>
    </row>
    <row r="148" spans="1:4" x14ac:dyDescent="0.2">
      <c r="A148" s="3" t="s">
        <v>138</v>
      </c>
      <c r="B148" s="4">
        <v>-45</v>
      </c>
      <c r="C148" s="4">
        <v>7</v>
      </c>
      <c r="D148" s="4">
        <v>-6.4</v>
      </c>
    </row>
    <row r="149" spans="1:4" x14ac:dyDescent="0.2">
      <c r="A149" s="3" t="s">
        <v>300</v>
      </c>
      <c r="B149" s="4">
        <v>-7</v>
      </c>
      <c r="C149" s="4">
        <v>7</v>
      </c>
      <c r="D149" s="4">
        <v>-1</v>
      </c>
    </row>
    <row r="150" spans="1:4" x14ac:dyDescent="0.2">
      <c r="A150" s="3" t="s">
        <v>301</v>
      </c>
      <c r="B150" s="4">
        <v>-6</v>
      </c>
      <c r="C150" s="4">
        <v>6</v>
      </c>
      <c r="D150" s="4">
        <v>-1</v>
      </c>
    </row>
    <row r="151" spans="1:4" x14ac:dyDescent="0.2">
      <c r="A151" s="3" t="s">
        <v>302</v>
      </c>
      <c r="B151" s="4">
        <v>-6</v>
      </c>
      <c r="C151" s="4">
        <v>6</v>
      </c>
      <c r="D151" s="4">
        <v>-1</v>
      </c>
    </row>
    <row r="152" spans="1:4" x14ac:dyDescent="0.2">
      <c r="A152" s="3" t="s">
        <v>92</v>
      </c>
      <c r="B152" s="4">
        <v>-70</v>
      </c>
      <c r="C152" s="4">
        <v>6</v>
      </c>
      <c r="D152" s="4">
        <v>-11.7</v>
      </c>
    </row>
    <row r="153" spans="1:4" x14ac:dyDescent="0.2">
      <c r="A153" s="3" t="s">
        <v>303</v>
      </c>
      <c r="B153" s="4">
        <v>-6</v>
      </c>
      <c r="C153" s="4">
        <v>6</v>
      </c>
      <c r="D153" s="4">
        <v>-1</v>
      </c>
    </row>
    <row r="154" spans="1:4" x14ac:dyDescent="0.2">
      <c r="A154" s="3" t="s">
        <v>304</v>
      </c>
      <c r="B154" s="4">
        <v>-11</v>
      </c>
      <c r="C154" s="4">
        <v>6</v>
      </c>
      <c r="D154" s="4">
        <v>-1.8</v>
      </c>
    </row>
    <row r="155" spans="1:4" x14ac:dyDescent="0.2">
      <c r="A155" s="3" t="s">
        <v>45</v>
      </c>
      <c r="B155" s="4">
        <v>-60</v>
      </c>
      <c r="C155" s="4">
        <v>6</v>
      </c>
      <c r="D155" s="4">
        <v>-10</v>
      </c>
    </row>
    <row r="156" spans="1:4" x14ac:dyDescent="0.2">
      <c r="A156" s="3" t="s">
        <v>305</v>
      </c>
      <c r="B156" s="4">
        <v>-6</v>
      </c>
      <c r="C156" s="4">
        <v>6</v>
      </c>
      <c r="D156" s="4">
        <v>-1</v>
      </c>
    </row>
    <row r="157" spans="1:4" x14ac:dyDescent="0.2">
      <c r="A157" s="3" t="s">
        <v>306</v>
      </c>
      <c r="B157" s="4">
        <v>-19</v>
      </c>
      <c r="C157" s="4">
        <v>6</v>
      </c>
      <c r="D157" s="4">
        <v>-3.2</v>
      </c>
    </row>
    <row r="158" spans="1:4" x14ac:dyDescent="0.2">
      <c r="A158" s="3" t="s">
        <v>307</v>
      </c>
      <c r="B158" s="4">
        <v>-21</v>
      </c>
      <c r="C158" s="4">
        <v>6</v>
      </c>
      <c r="D158" s="4">
        <v>-3.5</v>
      </c>
    </row>
    <row r="159" spans="1:4" x14ac:dyDescent="0.2">
      <c r="A159" s="3" t="s">
        <v>124</v>
      </c>
      <c r="B159" s="4">
        <v>-60</v>
      </c>
      <c r="C159" s="4">
        <v>6</v>
      </c>
      <c r="D159" s="4">
        <v>-10</v>
      </c>
    </row>
    <row r="160" spans="1:4" x14ac:dyDescent="0.2">
      <c r="A160" s="3" t="s">
        <v>308</v>
      </c>
      <c r="B160" s="4">
        <v>-6</v>
      </c>
      <c r="C160" s="4">
        <v>6</v>
      </c>
      <c r="D160" s="4">
        <v>-1</v>
      </c>
    </row>
    <row r="161" spans="1:4" x14ac:dyDescent="0.2">
      <c r="A161" s="3" t="s">
        <v>309</v>
      </c>
      <c r="B161" s="4">
        <v>-16</v>
      </c>
      <c r="C161" s="4">
        <v>6</v>
      </c>
      <c r="D161" s="4">
        <v>-2.7</v>
      </c>
    </row>
    <row r="162" spans="1:4" x14ac:dyDescent="0.2">
      <c r="A162" s="3" t="s">
        <v>135</v>
      </c>
      <c r="B162" s="4">
        <v>-80</v>
      </c>
      <c r="C162" s="4">
        <v>6</v>
      </c>
      <c r="D162" s="4">
        <v>-13.3</v>
      </c>
    </row>
    <row r="163" spans="1:4" x14ac:dyDescent="0.2">
      <c r="A163" s="3" t="s">
        <v>197</v>
      </c>
      <c r="B163" s="4">
        <v>-6</v>
      </c>
      <c r="C163" s="4">
        <v>6</v>
      </c>
      <c r="D163" s="4">
        <v>-1</v>
      </c>
    </row>
    <row r="164" spans="1:4" x14ac:dyDescent="0.2">
      <c r="A164" s="3" t="s">
        <v>117</v>
      </c>
      <c r="B164" s="4">
        <v>-70</v>
      </c>
      <c r="C164" s="4">
        <v>6</v>
      </c>
      <c r="D164" s="4">
        <v>-11.7</v>
      </c>
    </row>
    <row r="165" spans="1:4" x14ac:dyDescent="0.2">
      <c r="A165" s="3" t="s">
        <v>310</v>
      </c>
      <c r="B165" s="4">
        <v>-6</v>
      </c>
      <c r="C165" s="4">
        <v>6</v>
      </c>
      <c r="D165" s="4">
        <v>-1</v>
      </c>
    </row>
    <row r="166" spans="1:4" x14ac:dyDescent="0.2">
      <c r="A166" s="3" t="s">
        <v>170</v>
      </c>
      <c r="B166" s="4">
        <v>-9</v>
      </c>
      <c r="C166" s="4">
        <v>6</v>
      </c>
      <c r="D166" s="4">
        <v>-1.5</v>
      </c>
    </row>
    <row r="167" spans="1:4" x14ac:dyDescent="0.2">
      <c r="A167" s="3" t="s">
        <v>227</v>
      </c>
      <c r="B167" s="4">
        <v>-7</v>
      </c>
      <c r="C167" s="4">
        <v>6</v>
      </c>
      <c r="D167" s="4">
        <v>-1.2</v>
      </c>
    </row>
    <row r="168" spans="1:4" x14ac:dyDescent="0.2">
      <c r="A168" s="3" t="s">
        <v>24</v>
      </c>
      <c r="B168" s="4">
        <v>-70</v>
      </c>
      <c r="C168" s="4">
        <v>6</v>
      </c>
      <c r="D168" s="4">
        <v>-11.7</v>
      </c>
    </row>
    <row r="169" spans="1:4" x14ac:dyDescent="0.2">
      <c r="A169" s="3" t="s">
        <v>97</v>
      </c>
      <c r="B169" s="4">
        <v>-40</v>
      </c>
      <c r="C169" s="4">
        <v>6</v>
      </c>
      <c r="D169" s="4">
        <v>-6.7</v>
      </c>
    </row>
    <row r="170" spans="1:4" x14ac:dyDescent="0.2">
      <c r="A170" s="3" t="s">
        <v>66</v>
      </c>
      <c r="B170" s="4">
        <v>-60</v>
      </c>
      <c r="C170" s="4">
        <v>6</v>
      </c>
      <c r="D170" s="4">
        <v>-10</v>
      </c>
    </row>
    <row r="171" spans="1:4" x14ac:dyDescent="0.2">
      <c r="A171" s="3" t="s">
        <v>311</v>
      </c>
      <c r="B171" s="4">
        <v>-6</v>
      </c>
      <c r="C171" s="4">
        <v>6</v>
      </c>
      <c r="D171" s="4">
        <v>-1</v>
      </c>
    </row>
    <row r="172" spans="1:4" x14ac:dyDescent="0.2">
      <c r="A172" s="3" t="s">
        <v>179</v>
      </c>
      <c r="B172" s="4">
        <v>-5</v>
      </c>
      <c r="C172" s="4">
        <v>5</v>
      </c>
      <c r="D172" s="4">
        <v>-1</v>
      </c>
    </row>
    <row r="173" spans="1:4" x14ac:dyDescent="0.2">
      <c r="A173" s="3" t="s">
        <v>160</v>
      </c>
      <c r="B173" s="4">
        <v>-8</v>
      </c>
      <c r="C173" s="4">
        <v>5</v>
      </c>
      <c r="D173" s="4">
        <v>-1.6</v>
      </c>
    </row>
    <row r="174" spans="1:4" x14ac:dyDescent="0.2">
      <c r="A174" s="3" t="s">
        <v>87</v>
      </c>
      <c r="B174" s="4">
        <v>-50</v>
      </c>
      <c r="C174" s="4">
        <v>5</v>
      </c>
      <c r="D174" s="4">
        <v>-10</v>
      </c>
    </row>
    <row r="175" spans="1:4" x14ac:dyDescent="0.2">
      <c r="A175" s="3" t="s">
        <v>59</v>
      </c>
      <c r="B175" s="4">
        <v>-60</v>
      </c>
      <c r="C175" s="4">
        <v>5</v>
      </c>
      <c r="D175" s="4">
        <v>-12</v>
      </c>
    </row>
    <row r="176" spans="1:4" x14ac:dyDescent="0.2">
      <c r="A176" s="3" t="s">
        <v>90</v>
      </c>
      <c r="B176" s="4">
        <v>-40</v>
      </c>
      <c r="C176" s="4">
        <v>5</v>
      </c>
      <c r="D176" s="4">
        <v>-8</v>
      </c>
    </row>
    <row r="177" spans="1:4" x14ac:dyDescent="0.2">
      <c r="A177" s="3" t="s">
        <v>312</v>
      </c>
      <c r="B177" s="4">
        <v>-5</v>
      </c>
      <c r="C177" s="4">
        <v>5</v>
      </c>
      <c r="D177" s="4">
        <v>-1</v>
      </c>
    </row>
    <row r="178" spans="1:4" x14ac:dyDescent="0.2">
      <c r="A178" s="3" t="s">
        <v>220</v>
      </c>
      <c r="B178" s="4">
        <v>-6</v>
      </c>
      <c r="C178" s="4">
        <v>5</v>
      </c>
      <c r="D178" s="4">
        <v>-1.2</v>
      </c>
    </row>
    <row r="179" spans="1:4" x14ac:dyDescent="0.2">
      <c r="A179" s="3" t="s">
        <v>147</v>
      </c>
      <c r="B179" s="4">
        <v>-5</v>
      </c>
      <c r="C179" s="4">
        <v>5</v>
      </c>
      <c r="D179" s="4">
        <v>-1</v>
      </c>
    </row>
    <row r="180" spans="1:4" x14ac:dyDescent="0.2">
      <c r="A180" s="3" t="s">
        <v>313</v>
      </c>
      <c r="B180" s="4">
        <v>-9</v>
      </c>
      <c r="C180" s="4">
        <v>5</v>
      </c>
      <c r="D180" s="4">
        <v>-1.8</v>
      </c>
    </row>
    <row r="181" spans="1:4" x14ac:dyDescent="0.2">
      <c r="A181" s="3" t="s">
        <v>192</v>
      </c>
      <c r="B181" s="4">
        <v>-14</v>
      </c>
      <c r="C181" s="4">
        <v>5</v>
      </c>
      <c r="D181" s="4">
        <v>-2.8</v>
      </c>
    </row>
    <row r="182" spans="1:4" x14ac:dyDescent="0.2">
      <c r="A182" s="3" t="s">
        <v>218</v>
      </c>
      <c r="B182" s="4">
        <v>-5</v>
      </c>
      <c r="C182" s="4">
        <v>5</v>
      </c>
      <c r="D182" s="4">
        <v>-1</v>
      </c>
    </row>
    <row r="183" spans="1:4" x14ac:dyDescent="0.2">
      <c r="A183" s="3" t="s">
        <v>98</v>
      </c>
      <c r="B183" s="4">
        <v>-35</v>
      </c>
      <c r="C183" s="4">
        <v>5</v>
      </c>
      <c r="D183" s="4">
        <v>-7</v>
      </c>
    </row>
    <row r="184" spans="1:4" x14ac:dyDescent="0.2">
      <c r="A184" s="3" t="s">
        <v>314</v>
      </c>
      <c r="B184" s="4">
        <v>-5</v>
      </c>
      <c r="C184" s="4">
        <v>5</v>
      </c>
      <c r="D184" s="4">
        <v>-1</v>
      </c>
    </row>
    <row r="185" spans="1:4" x14ac:dyDescent="0.2">
      <c r="A185" s="3" t="s">
        <v>100</v>
      </c>
      <c r="B185" s="4">
        <v>-60</v>
      </c>
      <c r="C185" s="4">
        <v>5</v>
      </c>
      <c r="D185" s="4">
        <v>-12</v>
      </c>
    </row>
    <row r="186" spans="1:4" x14ac:dyDescent="0.2">
      <c r="A186" s="3" t="s">
        <v>104</v>
      </c>
      <c r="B186" s="4">
        <v>-50</v>
      </c>
      <c r="C186" s="4">
        <v>5</v>
      </c>
      <c r="D186" s="4">
        <v>-10</v>
      </c>
    </row>
    <row r="187" spans="1:4" x14ac:dyDescent="0.2">
      <c r="A187" s="3" t="s">
        <v>101</v>
      </c>
      <c r="B187" s="4">
        <v>-70</v>
      </c>
      <c r="C187" s="4">
        <v>5</v>
      </c>
      <c r="D187" s="4">
        <v>-14</v>
      </c>
    </row>
    <row r="188" spans="1:4" x14ac:dyDescent="0.2">
      <c r="A188" s="3" t="s">
        <v>315</v>
      </c>
      <c r="B188" s="4">
        <v>-6</v>
      </c>
      <c r="C188" s="4">
        <v>5</v>
      </c>
      <c r="D188" s="4">
        <v>-1.2</v>
      </c>
    </row>
    <row r="189" spans="1:4" x14ac:dyDescent="0.2">
      <c r="A189" s="3" t="s">
        <v>71</v>
      </c>
      <c r="B189" s="4">
        <v>-50</v>
      </c>
      <c r="C189" s="4">
        <v>5</v>
      </c>
      <c r="D189" s="4">
        <v>-10</v>
      </c>
    </row>
    <row r="190" spans="1:4" x14ac:dyDescent="0.2">
      <c r="A190" s="3" t="s">
        <v>184</v>
      </c>
      <c r="B190" s="4">
        <v>-5</v>
      </c>
      <c r="C190" s="4">
        <v>5</v>
      </c>
      <c r="D190" s="4">
        <v>-1</v>
      </c>
    </row>
    <row r="191" spans="1:4" x14ac:dyDescent="0.2">
      <c r="A191" s="3" t="s">
        <v>316</v>
      </c>
      <c r="B191" s="4">
        <v>-33</v>
      </c>
      <c r="C191" s="4">
        <v>5</v>
      </c>
      <c r="D191" s="4">
        <v>-6.6</v>
      </c>
    </row>
    <row r="192" spans="1:4" x14ac:dyDescent="0.2">
      <c r="A192" s="3" t="s">
        <v>317</v>
      </c>
      <c r="B192" s="4">
        <v>-11</v>
      </c>
      <c r="C192" s="4">
        <v>5</v>
      </c>
      <c r="D192" s="4">
        <v>-2.2000000000000002</v>
      </c>
    </row>
    <row r="193" spans="1:4" x14ac:dyDescent="0.2">
      <c r="A193" s="3" t="s">
        <v>318</v>
      </c>
      <c r="B193" s="4">
        <v>-16</v>
      </c>
      <c r="C193" s="4">
        <v>5</v>
      </c>
      <c r="D193" s="4">
        <v>-3.2</v>
      </c>
    </row>
    <row r="194" spans="1:4" x14ac:dyDescent="0.2">
      <c r="A194" s="3" t="s">
        <v>33</v>
      </c>
      <c r="B194" s="4">
        <v>-50</v>
      </c>
      <c r="C194" s="4">
        <v>5</v>
      </c>
      <c r="D194" s="4">
        <v>-10</v>
      </c>
    </row>
    <row r="195" spans="1:4" x14ac:dyDescent="0.2">
      <c r="A195" s="3" t="s">
        <v>10</v>
      </c>
      <c r="B195" s="4">
        <v>-50</v>
      </c>
      <c r="C195" s="4">
        <v>5</v>
      </c>
      <c r="D195" s="4">
        <v>-10</v>
      </c>
    </row>
    <row r="196" spans="1:4" x14ac:dyDescent="0.2">
      <c r="A196" s="3" t="s">
        <v>5</v>
      </c>
      <c r="B196" s="4">
        <v>-50</v>
      </c>
      <c r="C196" s="4">
        <v>4</v>
      </c>
      <c r="D196" s="4">
        <v>-12.5</v>
      </c>
    </row>
    <row r="197" spans="1:4" x14ac:dyDescent="0.2">
      <c r="A197" s="3" t="s">
        <v>319</v>
      </c>
      <c r="B197" s="4">
        <v>-7</v>
      </c>
      <c r="C197" s="4">
        <v>4</v>
      </c>
      <c r="D197" s="4">
        <v>-1.8</v>
      </c>
    </row>
    <row r="198" spans="1:4" x14ac:dyDescent="0.2">
      <c r="A198" s="3" t="s">
        <v>320</v>
      </c>
      <c r="B198" s="4">
        <v>-4</v>
      </c>
      <c r="C198" s="4">
        <v>4</v>
      </c>
      <c r="D198" s="4">
        <v>-1</v>
      </c>
    </row>
    <row r="199" spans="1:4" x14ac:dyDescent="0.2">
      <c r="A199" s="3" t="s">
        <v>168</v>
      </c>
      <c r="B199" s="4">
        <v>-4</v>
      </c>
      <c r="C199" s="4">
        <v>4</v>
      </c>
      <c r="D199" s="4">
        <v>-1</v>
      </c>
    </row>
    <row r="200" spans="1:4" x14ac:dyDescent="0.2">
      <c r="A200" s="3" t="s">
        <v>321</v>
      </c>
      <c r="B200" s="4">
        <v>-4</v>
      </c>
      <c r="C200" s="4">
        <v>4</v>
      </c>
      <c r="D200" s="4">
        <v>-1</v>
      </c>
    </row>
    <row r="201" spans="1:4" x14ac:dyDescent="0.2">
      <c r="A201" s="3" t="s">
        <v>322</v>
      </c>
      <c r="B201" s="4">
        <v>-4</v>
      </c>
      <c r="C201" s="4">
        <v>4</v>
      </c>
      <c r="D201" s="4">
        <v>-1</v>
      </c>
    </row>
    <row r="202" spans="1:4" x14ac:dyDescent="0.2">
      <c r="A202" s="3" t="s">
        <v>323</v>
      </c>
      <c r="B202" s="4">
        <v>-4</v>
      </c>
      <c r="C202" s="4">
        <v>4</v>
      </c>
      <c r="D202" s="4">
        <v>-1</v>
      </c>
    </row>
    <row r="203" spans="1:4" x14ac:dyDescent="0.2">
      <c r="A203" s="3" t="s">
        <v>188</v>
      </c>
      <c r="B203" s="4">
        <v>-7</v>
      </c>
      <c r="C203" s="4">
        <v>4</v>
      </c>
      <c r="D203" s="4">
        <v>-1.8</v>
      </c>
    </row>
    <row r="204" spans="1:4" x14ac:dyDescent="0.2">
      <c r="A204" s="3" t="s">
        <v>88</v>
      </c>
      <c r="B204" s="4">
        <v>-31</v>
      </c>
      <c r="C204" s="4">
        <v>4</v>
      </c>
      <c r="D204" s="4">
        <v>-7.8</v>
      </c>
    </row>
    <row r="205" spans="1:4" x14ac:dyDescent="0.2">
      <c r="A205" s="3" t="s">
        <v>324</v>
      </c>
      <c r="B205" s="4">
        <v>-8</v>
      </c>
      <c r="C205" s="4">
        <v>4</v>
      </c>
      <c r="D205" s="4">
        <v>-2</v>
      </c>
    </row>
    <row r="206" spans="1:4" x14ac:dyDescent="0.2">
      <c r="A206" s="3" t="s">
        <v>325</v>
      </c>
      <c r="B206" s="4">
        <v>-7</v>
      </c>
      <c r="C206" s="4">
        <v>4</v>
      </c>
      <c r="D206" s="4">
        <v>-1.8</v>
      </c>
    </row>
    <row r="207" spans="1:4" x14ac:dyDescent="0.2">
      <c r="A207" s="3" t="s">
        <v>326</v>
      </c>
      <c r="B207" s="4">
        <v>-5</v>
      </c>
      <c r="C207" s="4">
        <v>4</v>
      </c>
      <c r="D207" s="4">
        <v>-1.3</v>
      </c>
    </row>
    <row r="208" spans="1:4" x14ac:dyDescent="0.2">
      <c r="A208" s="3" t="s">
        <v>327</v>
      </c>
      <c r="B208" s="4">
        <v>-4</v>
      </c>
      <c r="C208" s="4">
        <v>4</v>
      </c>
      <c r="D208" s="4">
        <v>-1</v>
      </c>
    </row>
    <row r="209" spans="1:4" x14ac:dyDescent="0.2">
      <c r="A209" s="3" t="s">
        <v>328</v>
      </c>
      <c r="B209" s="4">
        <v>-4</v>
      </c>
      <c r="C209" s="4">
        <v>4</v>
      </c>
      <c r="D209" s="4">
        <v>-1</v>
      </c>
    </row>
    <row r="210" spans="1:4" x14ac:dyDescent="0.2">
      <c r="A210" s="3" t="s">
        <v>329</v>
      </c>
      <c r="B210" s="4">
        <v>-4</v>
      </c>
      <c r="C210" s="4">
        <v>4</v>
      </c>
      <c r="D210" s="4">
        <v>-1</v>
      </c>
    </row>
    <row r="211" spans="1:4" x14ac:dyDescent="0.2">
      <c r="A211" s="3" t="s">
        <v>330</v>
      </c>
      <c r="B211" s="4">
        <v>-4</v>
      </c>
      <c r="C211" s="4">
        <v>4</v>
      </c>
      <c r="D211" s="4">
        <v>-1</v>
      </c>
    </row>
    <row r="212" spans="1:4" x14ac:dyDescent="0.2">
      <c r="A212" s="3" t="s">
        <v>114</v>
      </c>
      <c r="B212" s="4">
        <v>-30</v>
      </c>
      <c r="C212" s="4">
        <v>4</v>
      </c>
      <c r="D212" s="4">
        <v>-7.5</v>
      </c>
    </row>
    <row r="213" spans="1:4" x14ac:dyDescent="0.2">
      <c r="A213" s="3" t="s">
        <v>331</v>
      </c>
      <c r="B213" s="4">
        <v>-4</v>
      </c>
      <c r="C213" s="4">
        <v>4</v>
      </c>
      <c r="D213" s="4">
        <v>-1</v>
      </c>
    </row>
    <row r="214" spans="1:4" x14ac:dyDescent="0.2">
      <c r="A214" s="3" t="s">
        <v>44</v>
      </c>
      <c r="B214" s="4">
        <v>-31</v>
      </c>
      <c r="C214" s="4">
        <v>4</v>
      </c>
      <c r="D214" s="4">
        <v>-7.8</v>
      </c>
    </row>
    <row r="215" spans="1:4" x14ac:dyDescent="0.2">
      <c r="A215" s="3" t="s">
        <v>332</v>
      </c>
      <c r="B215" s="4">
        <v>-4</v>
      </c>
      <c r="C215" s="4">
        <v>4</v>
      </c>
      <c r="D215" s="4">
        <v>-1</v>
      </c>
    </row>
    <row r="216" spans="1:4" x14ac:dyDescent="0.2">
      <c r="A216" s="3" t="s">
        <v>333</v>
      </c>
      <c r="B216" s="4">
        <v>-6</v>
      </c>
      <c r="C216" s="4">
        <v>4</v>
      </c>
      <c r="D216" s="4">
        <v>-1.5</v>
      </c>
    </row>
    <row r="217" spans="1:4" x14ac:dyDescent="0.2">
      <c r="A217" s="3" t="s">
        <v>334</v>
      </c>
      <c r="B217" s="4">
        <v>-4</v>
      </c>
      <c r="C217" s="4">
        <v>4</v>
      </c>
      <c r="D217" s="4">
        <v>-1</v>
      </c>
    </row>
    <row r="218" spans="1:4" x14ac:dyDescent="0.2">
      <c r="A218" s="3" t="s">
        <v>186</v>
      </c>
      <c r="B218" s="4">
        <v>-5</v>
      </c>
      <c r="C218" s="4">
        <v>4</v>
      </c>
      <c r="D218" s="4">
        <v>-1.3</v>
      </c>
    </row>
    <row r="219" spans="1:4" x14ac:dyDescent="0.2">
      <c r="A219" s="3" t="s">
        <v>335</v>
      </c>
      <c r="B219" s="4">
        <v>-3</v>
      </c>
      <c r="C219" s="4">
        <v>3</v>
      </c>
      <c r="D219" s="4">
        <v>-1</v>
      </c>
    </row>
    <row r="220" spans="1:4" x14ac:dyDescent="0.2">
      <c r="A220" s="3" t="s">
        <v>336</v>
      </c>
      <c r="B220" s="4">
        <v>-3</v>
      </c>
      <c r="C220" s="4">
        <v>3</v>
      </c>
      <c r="D220" s="4">
        <v>-1</v>
      </c>
    </row>
    <row r="221" spans="1:4" x14ac:dyDescent="0.2">
      <c r="A221" s="3" t="s">
        <v>226</v>
      </c>
      <c r="B221" s="4">
        <v>-3</v>
      </c>
      <c r="C221" s="4">
        <v>3</v>
      </c>
      <c r="D221" s="4">
        <v>-1</v>
      </c>
    </row>
    <row r="222" spans="1:4" x14ac:dyDescent="0.2">
      <c r="A222" s="3" t="s">
        <v>337</v>
      </c>
      <c r="B222" s="4">
        <v>-3</v>
      </c>
      <c r="C222" s="4">
        <v>3</v>
      </c>
      <c r="D222" s="4">
        <v>-1</v>
      </c>
    </row>
    <row r="223" spans="1:4" x14ac:dyDescent="0.2">
      <c r="A223" s="3" t="s">
        <v>338</v>
      </c>
      <c r="B223" s="4">
        <v>-3</v>
      </c>
      <c r="C223" s="4">
        <v>3</v>
      </c>
      <c r="D223" s="4">
        <v>-1</v>
      </c>
    </row>
    <row r="224" spans="1:4" x14ac:dyDescent="0.2">
      <c r="A224" s="3" t="s">
        <v>339</v>
      </c>
      <c r="B224" s="4">
        <v>-3</v>
      </c>
      <c r="C224" s="4">
        <v>3</v>
      </c>
      <c r="D224" s="4">
        <v>-1</v>
      </c>
    </row>
    <row r="225" spans="1:4" x14ac:dyDescent="0.2">
      <c r="A225" s="3" t="s">
        <v>340</v>
      </c>
      <c r="B225" s="4">
        <v>-4</v>
      </c>
      <c r="C225" s="4">
        <v>3</v>
      </c>
      <c r="D225" s="4">
        <v>-1.3</v>
      </c>
    </row>
    <row r="226" spans="1:4" x14ac:dyDescent="0.2">
      <c r="A226" s="3" t="s">
        <v>341</v>
      </c>
      <c r="B226" s="4">
        <v>-5</v>
      </c>
      <c r="C226" s="4">
        <v>3</v>
      </c>
      <c r="D226" s="4">
        <v>-1.7</v>
      </c>
    </row>
    <row r="227" spans="1:4" x14ac:dyDescent="0.2">
      <c r="A227" s="3" t="s">
        <v>342</v>
      </c>
      <c r="B227" s="4">
        <v>-3</v>
      </c>
      <c r="C227" s="4">
        <v>3</v>
      </c>
      <c r="D227" s="4">
        <v>-1</v>
      </c>
    </row>
    <row r="228" spans="1:4" x14ac:dyDescent="0.2">
      <c r="A228" s="3" t="s">
        <v>13</v>
      </c>
      <c r="B228" s="4">
        <v>-30</v>
      </c>
      <c r="C228" s="4">
        <v>3</v>
      </c>
      <c r="D228" s="4">
        <v>-10</v>
      </c>
    </row>
    <row r="229" spans="1:4" x14ac:dyDescent="0.2">
      <c r="A229" s="3" t="s">
        <v>343</v>
      </c>
      <c r="B229" s="4">
        <v>-3</v>
      </c>
      <c r="C229" s="4">
        <v>3</v>
      </c>
      <c r="D229" s="4">
        <v>-1</v>
      </c>
    </row>
    <row r="230" spans="1:4" x14ac:dyDescent="0.2">
      <c r="A230" s="3" t="s">
        <v>16</v>
      </c>
      <c r="B230" s="4">
        <v>-30</v>
      </c>
      <c r="C230" s="4">
        <v>3</v>
      </c>
      <c r="D230" s="4">
        <v>-10</v>
      </c>
    </row>
    <row r="231" spans="1:4" x14ac:dyDescent="0.2">
      <c r="A231" s="3" t="s">
        <v>344</v>
      </c>
      <c r="B231" s="4">
        <v>-13</v>
      </c>
      <c r="C231" s="4">
        <v>3</v>
      </c>
      <c r="D231" s="4">
        <v>-4.3</v>
      </c>
    </row>
    <row r="232" spans="1:4" x14ac:dyDescent="0.2">
      <c r="A232" s="3" t="s">
        <v>345</v>
      </c>
      <c r="B232" s="4">
        <v>-3</v>
      </c>
      <c r="C232" s="4">
        <v>3</v>
      </c>
      <c r="D232" s="4">
        <v>-1</v>
      </c>
    </row>
    <row r="233" spans="1:4" x14ac:dyDescent="0.2">
      <c r="A233" s="3" t="s">
        <v>346</v>
      </c>
      <c r="B233" s="4">
        <v>-3</v>
      </c>
      <c r="C233" s="4">
        <v>3</v>
      </c>
      <c r="D233" s="4">
        <v>-1</v>
      </c>
    </row>
    <row r="234" spans="1:4" x14ac:dyDescent="0.2">
      <c r="A234" s="3" t="s">
        <v>347</v>
      </c>
      <c r="B234" s="4">
        <v>-3</v>
      </c>
      <c r="C234" s="4">
        <v>3</v>
      </c>
      <c r="D234" s="4">
        <v>-1</v>
      </c>
    </row>
    <row r="235" spans="1:4" x14ac:dyDescent="0.2">
      <c r="A235" s="3" t="s">
        <v>348</v>
      </c>
      <c r="B235" s="4">
        <v>-40</v>
      </c>
      <c r="C235" s="4">
        <v>3</v>
      </c>
      <c r="D235" s="4">
        <v>-13.3</v>
      </c>
    </row>
    <row r="236" spans="1:4" x14ac:dyDescent="0.2">
      <c r="A236" s="3" t="s">
        <v>193</v>
      </c>
      <c r="B236" s="4">
        <v>-4</v>
      </c>
      <c r="C236" s="4">
        <v>3</v>
      </c>
      <c r="D236" s="4">
        <v>-1.3</v>
      </c>
    </row>
    <row r="237" spans="1:4" x14ac:dyDescent="0.2">
      <c r="A237" s="3" t="s">
        <v>145</v>
      </c>
      <c r="B237" s="4">
        <v>-3</v>
      </c>
      <c r="C237" s="4">
        <v>3</v>
      </c>
      <c r="D237" s="4">
        <v>-1</v>
      </c>
    </row>
    <row r="238" spans="1:4" x14ac:dyDescent="0.2">
      <c r="A238" s="3" t="s">
        <v>244</v>
      </c>
      <c r="B238" s="4">
        <v>-4</v>
      </c>
      <c r="C238" s="4">
        <v>3</v>
      </c>
      <c r="D238" s="4">
        <v>-1.3</v>
      </c>
    </row>
    <row r="239" spans="1:4" x14ac:dyDescent="0.2">
      <c r="A239" s="3" t="s">
        <v>75</v>
      </c>
      <c r="B239" s="4">
        <v>-50</v>
      </c>
      <c r="C239" s="4">
        <v>3</v>
      </c>
      <c r="D239" s="4">
        <v>-16.7</v>
      </c>
    </row>
    <row r="240" spans="1:4" x14ac:dyDescent="0.2">
      <c r="A240" s="3" t="s">
        <v>349</v>
      </c>
      <c r="B240" s="4">
        <v>-3</v>
      </c>
      <c r="C240" s="4">
        <v>3</v>
      </c>
      <c r="D240" s="4">
        <v>-1</v>
      </c>
    </row>
    <row r="241" spans="1:4" x14ac:dyDescent="0.2">
      <c r="A241" s="3" t="s">
        <v>217</v>
      </c>
      <c r="B241" s="4">
        <v>-3</v>
      </c>
      <c r="C241" s="4">
        <v>3</v>
      </c>
      <c r="D241" s="4">
        <v>-1</v>
      </c>
    </row>
    <row r="242" spans="1:4" x14ac:dyDescent="0.2">
      <c r="A242" s="3" t="s">
        <v>350</v>
      </c>
      <c r="B242" s="4">
        <v>-3</v>
      </c>
      <c r="C242" s="4">
        <v>3</v>
      </c>
      <c r="D242" s="4">
        <v>-1</v>
      </c>
    </row>
    <row r="243" spans="1:4" x14ac:dyDescent="0.2">
      <c r="A243" s="3" t="s">
        <v>351</v>
      </c>
      <c r="B243" s="4">
        <v>-3</v>
      </c>
      <c r="C243" s="4">
        <v>3</v>
      </c>
      <c r="D243" s="4">
        <v>-1</v>
      </c>
    </row>
    <row r="244" spans="1:4" x14ac:dyDescent="0.2">
      <c r="A244" s="3" t="s">
        <v>34</v>
      </c>
      <c r="B244" s="4">
        <v>-50</v>
      </c>
      <c r="C244" s="4">
        <v>3</v>
      </c>
      <c r="D244" s="4">
        <v>-16.7</v>
      </c>
    </row>
    <row r="245" spans="1:4" x14ac:dyDescent="0.2">
      <c r="A245" s="3" t="s">
        <v>352</v>
      </c>
      <c r="B245" s="4">
        <v>-3</v>
      </c>
      <c r="C245" s="4">
        <v>3</v>
      </c>
      <c r="D245" s="4">
        <v>-1</v>
      </c>
    </row>
    <row r="246" spans="1:4" x14ac:dyDescent="0.2">
      <c r="A246" s="3" t="s">
        <v>157</v>
      </c>
      <c r="B246" s="4">
        <v>-4</v>
      </c>
      <c r="C246" s="4">
        <v>3</v>
      </c>
      <c r="D246" s="4">
        <v>-1.3</v>
      </c>
    </row>
    <row r="247" spans="1:4" x14ac:dyDescent="0.2">
      <c r="A247" s="3" t="s">
        <v>158</v>
      </c>
      <c r="B247" s="4">
        <v>-4</v>
      </c>
      <c r="C247" s="4">
        <v>3</v>
      </c>
      <c r="D247" s="4">
        <v>-1.3</v>
      </c>
    </row>
    <row r="248" spans="1:4" x14ac:dyDescent="0.2">
      <c r="A248" s="3" t="s">
        <v>41</v>
      </c>
      <c r="B248" s="4">
        <v>-30</v>
      </c>
      <c r="C248" s="4">
        <v>3</v>
      </c>
      <c r="D248" s="4">
        <v>-10</v>
      </c>
    </row>
    <row r="249" spans="1:4" x14ac:dyDescent="0.2">
      <c r="A249" s="3" t="s">
        <v>103</v>
      </c>
      <c r="B249" s="4">
        <v>-20</v>
      </c>
      <c r="C249" s="4">
        <v>3</v>
      </c>
      <c r="D249" s="4">
        <v>-6.7</v>
      </c>
    </row>
    <row r="250" spans="1:4" x14ac:dyDescent="0.2">
      <c r="A250" s="3" t="s">
        <v>35</v>
      </c>
      <c r="B250" s="4">
        <v>-20</v>
      </c>
      <c r="C250" s="4">
        <v>3</v>
      </c>
      <c r="D250" s="4">
        <v>-6.7</v>
      </c>
    </row>
    <row r="251" spans="1:4" x14ac:dyDescent="0.2">
      <c r="A251" s="3" t="s">
        <v>49</v>
      </c>
      <c r="B251" s="4">
        <v>-30</v>
      </c>
      <c r="C251" s="4">
        <v>3</v>
      </c>
      <c r="D251" s="4">
        <v>-10</v>
      </c>
    </row>
    <row r="252" spans="1:4" x14ac:dyDescent="0.2">
      <c r="A252" s="3" t="s">
        <v>353</v>
      </c>
      <c r="B252" s="4">
        <v>-13</v>
      </c>
      <c r="C252" s="4">
        <v>3</v>
      </c>
      <c r="D252" s="4">
        <v>-4.3</v>
      </c>
    </row>
    <row r="253" spans="1:4" x14ac:dyDescent="0.2">
      <c r="A253" s="3" t="s">
        <v>52</v>
      </c>
      <c r="B253" s="4">
        <v>-29</v>
      </c>
      <c r="C253" s="4">
        <v>3</v>
      </c>
      <c r="D253" s="4">
        <v>-9.6999999999999993</v>
      </c>
    </row>
    <row r="254" spans="1:4" x14ac:dyDescent="0.2">
      <c r="A254" s="3" t="s">
        <v>354</v>
      </c>
      <c r="B254" s="4">
        <v>-30</v>
      </c>
      <c r="C254" s="4">
        <v>3</v>
      </c>
      <c r="D254" s="4">
        <v>-10</v>
      </c>
    </row>
    <row r="255" spans="1:4" x14ac:dyDescent="0.2">
      <c r="A255" s="3" t="s">
        <v>46</v>
      </c>
      <c r="B255" s="4">
        <v>-40</v>
      </c>
      <c r="C255" s="4">
        <v>3</v>
      </c>
      <c r="D255" s="4">
        <v>-13.3</v>
      </c>
    </row>
    <row r="256" spans="1:4" x14ac:dyDescent="0.2">
      <c r="A256" s="3" t="s">
        <v>355</v>
      </c>
      <c r="B256" s="4">
        <v>-8</v>
      </c>
      <c r="C256" s="4">
        <v>3</v>
      </c>
      <c r="D256" s="4">
        <v>-2.7</v>
      </c>
    </row>
    <row r="257" spans="1:4" x14ac:dyDescent="0.2">
      <c r="A257" s="3" t="s">
        <v>356</v>
      </c>
      <c r="B257" s="4">
        <v>-4</v>
      </c>
      <c r="C257" s="4">
        <v>2</v>
      </c>
      <c r="D257" s="4">
        <v>-2</v>
      </c>
    </row>
    <row r="258" spans="1:4" x14ac:dyDescent="0.2">
      <c r="A258" s="3" t="s">
        <v>357</v>
      </c>
      <c r="B258" s="4">
        <v>-2</v>
      </c>
      <c r="C258" s="4">
        <v>2</v>
      </c>
      <c r="D258" s="4">
        <v>-1</v>
      </c>
    </row>
    <row r="259" spans="1:4" x14ac:dyDescent="0.2">
      <c r="A259" s="3" t="s">
        <v>164</v>
      </c>
      <c r="B259" s="4">
        <v>-2</v>
      </c>
      <c r="C259" s="4">
        <v>2</v>
      </c>
      <c r="D259" s="4">
        <v>-1</v>
      </c>
    </row>
    <row r="260" spans="1:4" x14ac:dyDescent="0.2">
      <c r="A260" s="3" t="s">
        <v>172</v>
      </c>
      <c r="B260" s="4">
        <v>-2</v>
      </c>
      <c r="C260" s="4">
        <v>2</v>
      </c>
      <c r="D260" s="4">
        <v>-1</v>
      </c>
    </row>
    <row r="261" spans="1:4" x14ac:dyDescent="0.2">
      <c r="A261" s="3" t="s">
        <v>12</v>
      </c>
      <c r="B261" s="4">
        <v>-20</v>
      </c>
      <c r="C261" s="4">
        <v>2</v>
      </c>
      <c r="D261" s="4">
        <v>-10</v>
      </c>
    </row>
    <row r="262" spans="1:4" x14ac:dyDescent="0.2">
      <c r="A262" s="3" t="s">
        <v>177</v>
      </c>
      <c r="B262" s="4">
        <v>-2</v>
      </c>
      <c r="C262" s="4">
        <v>2</v>
      </c>
      <c r="D262" s="4">
        <v>-1</v>
      </c>
    </row>
    <row r="263" spans="1:4" x14ac:dyDescent="0.2">
      <c r="A263" s="3" t="s">
        <v>358</v>
      </c>
      <c r="B263" s="4">
        <v>-3</v>
      </c>
      <c r="C263" s="4">
        <v>2</v>
      </c>
      <c r="D263" s="4">
        <v>-1.5</v>
      </c>
    </row>
    <row r="264" spans="1:4" x14ac:dyDescent="0.2">
      <c r="A264" s="3" t="s">
        <v>359</v>
      </c>
      <c r="B264" s="4">
        <v>-2</v>
      </c>
      <c r="C264" s="4">
        <v>2</v>
      </c>
      <c r="D264" s="4">
        <v>-1</v>
      </c>
    </row>
    <row r="265" spans="1:4" x14ac:dyDescent="0.2">
      <c r="A265" s="3" t="s">
        <v>360</v>
      </c>
      <c r="B265" s="4">
        <v>-2</v>
      </c>
      <c r="C265" s="4">
        <v>2</v>
      </c>
      <c r="D265" s="4">
        <v>-1</v>
      </c>
    </row>
    <row r="266" spans="1:4" x14ac:dyDescent="0.2">
      <c r="A266" s="3" t="s">
        <v>361</v>
      </c>
      <c r="B266" s="4">
        <v>-2</v>
      </c>
      <c r="C266" s="4">
        <v>2</v>
      </c>
      <c r="D266" s="4">
        <v>-1</v>
      </c>
    </row>
    <row r="267" spans="1:4" x14ac:dyDescent="0.2">
      <c r="A267" s="3" t="s">
        <v>115</v>
      </c>
      <c r="B267" s="4">
        <v>-20</v>
      </c>
      <c r="C267" s="4">
        <v>2</v>
      </c>
      <c r="D267" s="4">
        <v>-10</v>
      </c>
    </row>
    <row r="268" spans="1:4" x14ac:dyDescent="0.2">
      <c r="A268" s="3" t="s">
        <v>362</v>
      </c>
      <c r="B268" s="4">
        <v>-2</v>
      </c>
      <c r="C268" s="4">
        <v>2</v>
      </c>
      <c r="D268" s="4">
        <v>-1</v>
      </c>
    </row>
    <row r="269" spans="1:4" x14ac:dyDescent="0.2">
      <c r="A269" s="3" t="s">
        <v>67</v>
      </c>
      <c r="B269" s="4">
        <v>-20</v>
      </c>
      <c r="C269" s="4">
        <v>2</v>
      </c>
      <c r="D269" s="4">
        <v>-10</v>
      </c>
    </row>
    <row r="270" spans="1:4" x14ac:dyDescent="0.2">
      <c r="A270" s="3" t="s">
        <v>363</v>
      </c>
      <c r="B270" s="4">
        <v>-4</v>
      </c>
      <c r="C270" s="4">
        <v>2</v>
      </c>
      <c r="D270" s="4">
        <v>-2</v>
      </c>
    </row>
    <row r="271" spans="1:4" x14ac:dyDescent="0.2">
      <c r="A271" s="3" t="s">
        <v>364</v>
      </c>
      <c r="B271" s="4">
        <v>-2</v>
      </c>
      <c r="C271" s="4">
        <v>2</v>
      </c>
      <c r="D271" s="4">
        <v>-1</v>
      </c>
    </row>
    <row r="272" spans="1:4" x14ac:dyDescent="0.2">
      <c r="A272" s="3" t="s">
        <v>239</v>
      </c>
      <c r="B272" s="4">
        <v>-2</v>
      </c>
      <c r="C272" s="4">
        <v>2</v>
      </c>
      <c r="D272" s="4">
        <v>-1</v>
      </c>
    </row>
    <row r="273" spans="1:4" x14ac:dyDescent="0.2">
      <c r="A273" s="3" t="s">
        <v>365</v>
      </c>
      <c r="B273" s="4">
        <v>-13</v>
      </c>
      <c r="C273" s="4">
        <v>2</v>
      </c>
      <c r="D273" s="4">
        <v>-6.5</v>
      </c>
    </row>
    <row r="274" spans="1:4" x14ac:dyDescent="0.2">
      <c r="A274" s="3" t="s">
        <v>175</v>
      </c>
      <c r="B274" s="4">
        <v>-2</v>
      </c>
      <c r="C274" s="4">
        <v>2</v>
      </c>
      <c r="D274" s="4">
        <v>-1</v>
      </c>
    </row>
    <row r="275" spans="1:4" x14ac:dyDescent="0.2">
      <c r="A275" s="3" t="s">
        <v>366</v>
      </c>
      <c r="B275" s="4">
        <v>-2</v>
      </c>
      <c r="C275" s="4">
        <v>2</v>
      </c>
      <c r="D275" s="4">
        <v>-1</v>
      </c>
    </row>
    <row r="276" spans="1:4" x14ac:dyDescent="0.2">
      <c r="A276" s="3" t="s">
        <v>367</v>
      </c>
      <c r="B276" s="4">
        <v>-2</v>
      </c>
      <c r="C276" s="4">
        <v>2</v>
      </c>
      <c r="D276" s="4">
        <v>-1</v>
      </c>
    </row>
    <row r="277" spans="1:4" x14ac:dyDescent="0.2">
      <c r="A277" s="3" t="s">
        <v>43</v>
      </c>
      <c r="B277" s="4">
        <v>-5</v>
      </c>
      <c r="C277" s="4">
        <v>2</v>
      </c>
      <c r="D277" s="4">
        <v>-2.5</v>
      </c>
    </row>
    <row r="278" spans="1:4" x14ac:dyDescent="0.2">
      <c r="A278" s="3" t="s">
        <v>253</v>
      </c>
      <c r="B278" s="4">
        <v>-2</v>
      </c>
      <c r="C278" s="4">
        <v>2</v>
      </c>
      <c r="D278" s="4">
        <v>-1</v>
      </c>
    </row>
    <row r="279" spans="1:4" x14ac:dyDescent="0.2">
      <c r="A279" s="3" t="s">
        <v>368</v>
      </c>
      <c r="B279" s="4">
        <v>-2</v>
      </c>
      <c r="C279" s="4">
        <v>2</v>
      </c>
      <c r="D279" s="4">
        <v>-1</v>
      </c>
    </row>
    <row r="280" spans="1:4" x14ac:dyDescent="0.2">
      <c r="A280" s="3" t="s">
        <v>369</v>
      </c>
      <c r="B280" s="4">
        <v>-2</v>
      </c>
      <c r="C280" s="4">
        <v>2</v>
      </c>
      <c r="D280" s="4">
        <v>-1</v>
      </c>
    </row>
    <row r="281" spans="1:4" x14ac:dyDescent="0.2">
      <c r="A281" s="3" t="s">
        <v>370</v>
      </c>
      <c r="B281" s="4">
        <v>-3</v>
      </c>
      <c r="C281" s="4">
        <v>2</v>
      </c>
      <c r="D281" s="4">
        <v>-1.5</v>
      </c>
    </row>
    <row r="282" spans="1:4" x14ac:dyDescent="0.2">
      <c r="A282" s="3" t="s">
        <v>371</v>
      </c>
      <c r="B282" s="4">
        <v>-2</v>
      </c>
      <c r="C282" s="4">
        <v>2</v>
      </c>
      <c r="D282" s="4">
        <v>-1</v>
      </c>
    </row>
    <row r="283" spans="1:4" x14ac:dyDescent="0.2">
      <c r="A283" s="3" t="s">
        <v>372</v>
      </c>
      <c r="B283" s="4">
        <v>-2</v>
      </c>
      <c r="C283" s="4">
        <v>2</v>
      </c>
      <c r="D283" s="4">
        <v>-1</v>
      </c>
    </row>
    <row r="284" spans="1:4" x14ac:dyDescent="0.2">
      <c r="A284" s="3" t="s">
        <v>373</v>
      </c>
      <c r="B284" s="4">
        <v>-2</v>
      </c>
      <c r="C284" s="4">
        <v>2</v>
      </c>
      <c r="D284" s="4">
        <v>-1</v>
      </c>
    </row>
    <row r="285" spans="1:4" x14ac:dyDescent="0.2">
      <c r="A285" s="3" t="s">
        <v>26</v>
      </c>
      <c r="B285" s="4">
        <v>-20</v>
      </c>
      <c r="C285" s="4">
        <v>2</v>
      </c>
      <c r="D285" s="4">
        <v>-10</v>
      </c>
    </row>
    <row r="286" spans="1:4" x14ac:dyDescent="0.2">
      <c r="A286" s="3" t="s">
        <v>374</v>
      </c>
      <c r="B286" s="4">
        <v>-2</v>
      </c>
      <c r="C286" s="4">
        <v>2</v>
      </c>
      <c r="D286" s="4">
        <v>-1</v>
      </c>
    </row>
    <row r="287" spans="1:4" x14ac:dyDescent="0.2">
      <c r="A287" s="3" t="s">
        <v>375</v>
      </c>
      <c r="B287" s="4">
        <v>-2</v>
      </c>
      <c r="C287" s="4">
        <v>2</v>
      </c>
      <c r="D287" s="4">
        <v>-1</v>
      </c>
    </row>
    <row r="288" spans="1:4" x14ac:dyDescent="0.2">
      <c r="A288" s="3" t="s">
        <v>376</v>
      </c>
      <c r="B288" s="4">
        <v>-2</v>
      </c>
      <c r="C288" s="4">
        <v>2</v>
      </c>
      <c r="D288" s="4">
        <v>-1</v>
      </c>
    </row>
    <row r="289" spans="1:4" x14ac:dyDescent="0.2">
      <c r="A289" s="3" t="s">
        <v>212</v>
      </c>
      <c r="B289" s="4">
        <v>-2</v>
      </c>
      <c r="C289" s="4">
        <v>2</v>
      </c>
      <c r="D289" s="4">
        <v>-1</v>
      </c>
    </row>
    <row r="290" spans="1:4" x14ac:dyDescent="0.2">
      <c r="A290" s="3" t="s">
        <v>377</v>
      </c>
      <c r="B290" s="4">
        <v>-2</v>
      </c>
      <c r="C290" s="4">
        <v>2</v>
      </c>
      <c r="D290" s="4">
        <v>-1</v>
      </c>
    </row>
    <row r="291" spans="1:4" x14ac:dyDescent="0.2">
      <c r="A291" s="3" t="s">
        <v>378</v>
      </c>
      <c r="B291" s="4">
        <v>-2</v>
      </c>
      <c r="C291" s="4">
        <v>2</v>
      </c>
      <c r="D291" s="4">
        <v>-1</v>
      </c>
    </row>
    <row r="292" spans="1:4" x14ac:dyDescent="0.2">
      <c r="A292" s="3" t="s">
        <v>379</v>
      </c>
      <c r="B292" s="4">
        <v>-2</v>
      </c>
      <c r="C292" s="4">
        <v>2</v>
      </c>
      <c r="D292" s="4">
        <v>-1</v>
      </c>
    </row>
    <row r="293" spans="1:4" x14ac:dyDescent="0.2">
      <c r="A293" s="3" t="s">
        <v>131</v>
      </c>
      <c r="B293" s="4">
        <v>-15</v>
      </c>
      <c r="C293" s="4">
        <v>2</v>
      </c>
      <c r="D293" s="4">
        <v>-7.5</v>
      </c>
    </row>
    <row r="294" spans="1:4" x14ac:dyDescent="0.2">
      <c r="A294" s="3" t="s">
        <v>380</v>
      </c>
      <c r="B294" s="4">
        <v>-2</v>
      </c>
      <c r="C294" s="4">
        <v>2</v>
      </c>
      <c r="D294" s="4">
        <v>-1</v>
      </c>
    </row>
    <row r="295" spans="1:4" x14ac:dyDescent="0.2">
      <c r="A295" s="3" t="s">
        <v>196</v>
      </c>
      <c r="B295" s="4">
        <v>-2</v>
      </c>
      <c r="C295" s="4">
        <v>2</v>
      </c>
      <c r="D295" s="4">
        <v>-1</v>
      </c>
    </row>
    <row r="296" spans="1:4" x14ac:dyDescent="0.2">
      <c r="A296" s="3" t="s">
        <v>53</v>
      </c>
      <c r="B296" s="4">
        <v>-20</v>
      </c>
      <c r="C296" s="4">
        <v>2</v>
      </c>
      <c r="D296" s="4">
        <v>-10</v>
      </c>
    </row>
    <row r="297" spans="1:4" x14ac:dyDescent="0.2">
      <c r="A297" s="3" t="s">
        <v>381</v>
      </c>
      <c r="B297" s="4">
        <v>-2</v>
      </c>
      <c r="C297" s="4">
        <v>2</v>
      </c>
      <c r="D297" s="4">
        <v>-1</v>
      </c>
    </row>
    <row r="298" spans="1:4" x14ac:dyDescent="0.2">
      <c r="A298" s="3" t="s">
        <v>85</v>
      </c>
      <c r="B298" s="4">
        <v>-15</v>
      </c>
      <c r="C298" s="4">
        <v>2</v>
      </c>
      <c r="D298" s="4">
        <v>-7.5</v>
      </c>
    </row>
    <row r="299" spans="1:4" x14ac:dyDescent="0.2">
      <c r="A299" s="3" t="s">
        <v>190</v>
      </c>
      <c r="B299" s="4">
        <v>-2</v>
      </c>
      <c r="C299" s="4">
        <v>2</v>
      </c>
      <c r="D299" s="4">
        <v>-1</v>
      </c>
    </row>
    <row r="300" spans="1:4" x14ac:dyDescent="0.2">
      <c r="A300" s="3" t="s">
        <v>154</v>
      </c>
      <c r="B300" s="4">
        <v>-2</v>
      </c>
      <c r="C300" s="4">
        <v>2</v>
      </c>
      <c r="D300" s="4">
        <v>-1</v>
      </c>
    </row>
    <row r="301" spans="1:4" x14ac:dyDescent="0.2">
      <c r="A301" s="3" t="s">
        <v>382</v>
      </c>
      <c r="B301" s="4">
        <v>-4</v>
      </c>
      <c r="C301" s="4">
        <v>2</v>
      </c>
      <c r="D301" s="4">
        <v>-2</v>
      </c>
    </row>
    <row r="302" spans="1:4" x14ac:dyDescent="0.2">
      <c r="A302" s="3" t="s">
        <v>383</v>
      </c>
      <c r="B302" s="4">
        <v>-2</v>
      </c>
      <c r="C302" s="4">
        <v>2</v>
      </c>
      <c r="D302" s="4">
        <v>-1</v>
      </c>
    </row>
    <row r="303" spans="1:4" x14ac:dyDescent="0.2">
      <c r="A303" s="3" t="s">
        <v>120</v>
      </c>
      <c r="B303" s="4">
        <v>-20</v>
      </c>
      <c r="C303" s="4">
        <v>2</v>
      </c>
      <c r="D303" s="4">
        <v>-10</v>
      </c>
    </row>
    <row r="304" spans="1:4" x14ac:dyDescent="0.2">
      <c r="A304" s="3" t="s">
        <v>384</v>
      </c>
      <c r="B304" s="4">
        <v>-4</v>
      </c>
      <c r="C304" s="4">
        <v>2</v>
      </c>
      <c r="D304" s="4">
        <v>-2</v>
      </c>
    </row>
    <row r="305" spans="1:4" x14ac:dyDescent="0.2">
      <c r="A305" s="3" t="s">
        <v>141</v>
      </c>
      <c r="B305" s="4">
        <v>-20</v>
      </c>
      <c r="C305" s="4">
        <v>2</v>
      </c>
      <c r="D305" s="4">
        <v>-10</v>
      </c>
    </row>
    <row r="306" spans="1:4" x14ac:dyDescent="0.2">
      <c r="A306" s="3" t="s">
        <v>201</v>
      </c>
      <c r="B306" s="4">
        <v>-2</v>
      </c>
      <c r="C306" s="4">
        <v>2</v>
      </c>
      <c r="D306" s="4">
        <v>-1</v>
      </c>
    </row>
    <row r="307" spans="1:4" x14ac:dyDescent="0.2">
      <c r="A307" s="3" t="s">
        <v>385</v>
      </c>
      <c r="B307" s="4">
        <v>-2</v>
      </c>
      <c r="C307" s="4">
        <v>2</v>
      </c>
      <c r="D307" s="4">
        <v>-1</v>
      </c>
    </row>
    <row r="308" spans="1:4" x14ac:dyDescent="0.2">
      <c r="A308" s="3" t="s">
        <v>386</v>
      </c>
      <c r="B308" s="4">
        <v>-2</v>
      </c>
      <c r="C308" s="4">
        <v>2</v>
      </c>
      <c r="D308" s="4">
        <v>-1</v>
      </c>
    </row>
    <row r="309" spans="1:4" x14ac:dyDescent="0.2">
      <c r="A309" s="3" t="s">
        <v>77</v>
      </c>
      <c r="B309" s="4">
        <v>-20</v>
      </c>
      <c r="C309" s="4">
        <v>2</v>
      </c>
      <c r="D309" s="4">
        <v>-10</v>
      </c>
    </row>
    <row r="310" spans="1:4" x14ac:dyDescent="0.2">
      <c r="A310" s="3" t="s">
        <v>387</v>
      </c>
      <c r="B310" s="4">
        <v>-2</v>
      </c>
      <c r="C310" s="4">
        <v>2</v>
      </c>
      <c r="D310" s="4">
        <v>-1</v>
      </c>
    </row>
    <row r="311" spans="1:4" x14ac:dyDescent="0.2">
      <c r="A311" s="3" t="s">
        <v>388</v>
      </c>
      <c r="B311" s="4">
        <v>-2</v>
      </c>
      <c r="C311" s="4">
        <v>2</v>
      </c>
      <c r="D311" s="4">
        <v>-1</v>
      </c>
    </row>
    <row r="312" spans="1:4" x14ac:dyDescent="0.2">
      <c r="A312" s="3" t="s">
        <v>207</v>
      </c>
      <c r="B312" s="4">
        <v>-2</v>
      </c>
      <c r="C312" s="4">
        <v>2</v>
      </c>
      <c r="D312" s="4">
        <v>-1</v>
      </c>
    </row>
    <row r="313" spans="1:4" x14ac:dyDescent="0.2">
      <c r="A313" s="3" t="s">
        <v>389</v>
      </c>
      <c r="B313" s="4">
        <v>-4</v>
      </c>
      <c r="C313" s="4">
        <v>2</v>
      </c>
      <c r="D313" s="4">
        <v>-2</v>
      </c>
    </row>
    <row r="314" spans="1:4" x14ac:dyDescent="0.2">
      <c r="A314" s="3" t="s">
        <v>390</v>
      </c>
      <c r="B314" s="4">
        <v>-3</v>
      </c>
      <c r="C314" s="4">
        <v>2</v>
      </c>
      <c r="D314" s="4">
        <v>-1.5</v>
      </c>
    </row>
    <row r="315" spans="1:4" x14ac:dyDescent="0.2">
      <c r="A315" s="3" t="s">
        <v>391</v>
      </c>
      <c r="B315" s="4">
        <v>-3</v>
      </c>
      <c r="C315" s="4">
        <v>2</v>
      </c>
      <c r="D315" s="4">
        <v>-1.5</v>
      </c>
    </row>
    <row r="316" spans="1:4" x14ac:dyDescent="0.2">
      <c r="A316" s="3" t="s">
        <v>149</v>
      </c>
      <c r="B316" s="4">
        <v>-2</v>
      </c>
      <c r="C316" s="4">
        <v>2</v>
      </c>
      <c r="D316" s="4">
        <v>-1</v>
      </c>
    </row>
    <row r="317" spans="1:4" x14ac:dyDescent="0.2">
      <c r="A317" s="3" t="s">
        <v>392</v>
      </c>
      <c r="B317" s="4">
        <v>-2</v>
      </c>
      <c r="C317" s="4">
        <v>2</v>
      </c>
      <c r="D317" s="4">
        <v>-1</v>
      </c>
    </row>
    <row r="318" spans="1:4" x14ac:dyDescent="0.2">
      <c r="A318" s="3" t="s">
        <v>393</v>
      </c>
      <c r="B318" s="4">
        <v>-4</v>
      </c>
      <c r="C318" s="4">
        <v>2</v>
      </c>
      <c r="D318" s="4">
        <v>-2</v>
      </c>
    </row>
    <row r="319" spans="1:4" x14ac:dyDescent="0.2">
      <c r="A319" s="3" t="s">
        <v>394</v>
      </c>
      <c r="B319" s="4">
        <v>-2</v>
      </c>
      <c r="C319" s="4">
        <v>2</v>
      </c>
      <c r="D319" s="4">
        <v>-1</v>
      </c>
    </row>
    <row r="320" spans="1:4" x14ac:dyDescent="0.2">
      <c r="A320" s="3" t="s">
        <v>395</v>
      </c>
      <c r="B320" s="4">
        <v>-2</v>
      </c>
      <c r="C320" s="4">
        <v>2</v>
      </c>
      <c r="D320" s="4">
        <v>-1</v>
      </c>
    </row>
    <row r="321" spans="1:4" x14ac:dyDescent="0.2">
      <c r="A321" s="3" t="s">
        <v>396</v>
      </c>
      <c r="B321" s="4">
        <v>-2</v>
      </c>
      <c r="C321" s="4">
        <v>2</v>
      </c>
      <c r="D321" s="4">
        <v>-1</v>
      </c>
    </row>
    <row r="322" spans="1:4" x14ac:dyDescent="0.2">
      <c r="A322" s="3" t="s">
        <v>397</v>
      </c>
      <c r="B322" s="4">
        <v>-2</v>
      </c>
      <c r="C322" s="4">
        <v>2</v>
      </c>
      <c r="D322" s="4">
        <v>-1</v>
      </c>
    </row>
    <row r="323" spans="1:4" x14ac:dyDescent="0.2">
      <c r="A323" s="3" t="s">
        <v>398</v>
      </c>
      <c r="B323" s="4">
        <v>-8</v>
      </c>
      <c r="C323" s="4">
        <v>2</v>
      </c>
      <c r="D323" s="4">
        <v>-4</v>
      </c>
    </row>
    <row r="324" spans="1:4" x14ac:dyDescent="0.2">
      <c r="A324" s="3" t="s">
        <v>399</v>
      </c>
      <c r="B324" s="4">
        <v>-2</v>
      </c>
      <c r="C324" s="4">
        <v>2</v>
      </c>
      <c r="D324" s="4">
        <v>-1</v>
      </c>
    </row>
    <row r="325" spans="1:4" x14ac:dyDescent="0.2">
      <c r="A325" s="3" t="s">
        <v>400</v>
      </c>
      <c r="B325" s="4">
        <v>-2</v>
      </c>
      <c r="C325" s="4">
        <v>2</v>
      </c>
      <c r="D325" s="4">
        <v>-1</v>
      </c>
    </row>
    <row r="326" spans="1:4" x14ac:dyDescent="0.2">
      <c r="A326" s="3" t="s">
        <v>238</v>
      </c>
      <c r="B326" s="4">
        <v>-2</v>
      </c>
      <c r="C326" s="4">
        <v>2</v>
      </c>
      <c r="D326" s="4">
        <v>-1</v>
      </c>
    </row>
    <row r="327" spans="1:4" x14ac:dyDescent="0.2">
      <c r="A327" s="3" t="s">
        <v>182</v>
      </c>
      <c r="B327" s="4">
        <v>-2</v>
      </c>
      <c r="C327" s="4">
        <v>2</v>
      </c>
      <c r="D327" s="4">
        <v>-1</v>
      </c>
    </row>
    <row r="328" spans="1:4" x14ac:dyDescent="0.2">
      <c r="A328" s="3" t="s">
        <v>187</v>
      </c>
      <c r="B328" s="4">
        <v>-2</v>
      </c>
      <c r="C328" s="4">
        <v>2</v>
      </c>
      <c r="D328" s="4">
        <v>-1</v>
      </c>
    </row>
    <row r="329" spans="1:4" x14ac:dyDescent="0.2">
      <c r="A329" s="3" t="s">
        <v>146</v>
      </c>
      <c r="B329" s="4">
        <v>-2</v>
      </c>
      <c r="C329" s="4">
        <v>2</v>
      </c>
      <c r="D329" s="4">
        <v>-1</v>
      </c>
    </row>
    <row r="330" spans="1:4" x14ac:dyDescent="0.2">
      <c r="A330" s="3" t="s">
        <v>401</v>
      </c>
      <c r="B330" s="4">
        <v>-1</v>
      </c>
      <c r="C330" s="4">
        <v>1</v>
      </c>
      <c r="D330" s="4">
        <v>-1</v>
      </c>
    </row>
    <row r="331" spans="1:4" x14ac:dyDescent="0.2">
      <c r="A331" s="3" t="s">
        <v>155</v>
      </c>
      <c r="B331" s="4">
        <v>-2</v>
      </c>
      <c r="C331" s="4">
        <v>1</v>
      </c>
      <c r="D331" s="4">
        <v>-2</v>
      </c>
    </row>
    <row r="332" spans="1:4" x14ac:dyDescent="0.2">
      <c r="A332" s="3" t="s">
        <v>402</v>
      </c>
      <c r="B332" s="4">
        <v>-1</v>
      </c>
      <c r="C332" s="4">
        <v>1</v>
      </c>
      <c r="D332" s="4">
        <v>-1</v>
      </c>
    </row>
    <row r="333" spans="1:4" x14ac:dyDescent="0.2">
      <c r="A333" s="3" t="s">
        <v>403</v>
      </c>
      <c r="B333" s="4">
        <v>-1</v>
      </c>
      <c r="C333" s="4">
        <v>1</v>
      </c>
      <c r="D333" s="4">
        <v>-1</v>
      </c>
    </row>
    <row r="334" spans="1:4" x14ac:dyDescent="0.2">
      <c r="A334" s="3" t="s">
        <v>404</v>
      </c>
      <c r="B334" s="4">
        <v>-1</v>
      </c>
      <c r="C334" s="4">
        <v>1</v>
      </c>
      <c r="D334" s="4">
        <v>-1</v>
      </c>
    </row>
    <row r="335" spans="1:4" x14ac:dyDescent="0.2">
      <c r="A335" s="3" t="s">
        <v>405</v>
      </c>
      <c r="B335" s="4">
        <v>-10</v>
      </c>
      <c r="C335" s="4">
        <v>1</v>
      </c>
      <c r="D335" s="4">
        <v>-10</v>
      </c>
    </row>
    <row r="336" spans="1:4" x14ac:dyDescent="0.2">
      <c r="A336" s="3" t="s">
        <v>406</v>
      </c>
      <c r="B336" s="4">
        <v>-3</v>
      </c>
      <c r="C336" s="4">
        <v>1</v>
      </c>
      <c r="D336" s="4">
        <v>-3</v>
      </c>
    </row>
    <row r="337" spans="1:4" x14ac:dyDescent="0.2">
      <c r="A337" s="3" t="s">
        <v>169</v>
      </c>
      <c r="B337" s="4">
        <v>-1</v>
      </c>
      <c r="C337" s="4">
        <v>1</v>
      </c>
      <c r="D337" s="4">
        <v>-1</v>
      </c>
    </row>
    <row r="338" spans="1:4" x14ac:dyDescent="0.2">
      <c r="A338" s="3" t="s">
        <v>407</v>
      </c>
      <c r="B338" s="4">
        <v>-1</v>
      </c>
      <c r="C338" s="4">
        <v>1</v>
      </c>
      <c r="D338" s="4">
        <v>-1</v>
      </c>
    </row>
    <row r="339" spans="1:4" x14ac:dyDescent="0.2">
      <c r="A339" s="3" t="s">
        <v>408</v>
      </c>
      <c r="B339" s="4">
        <v>-1</v>
      </c>
      <c r="C339" s="4">
        <v>1</v>
      </c>
      <c r="D339" s="4">
        <v>-1</v>
      </c>
    </row>
    <row r="340" spans="1:4" x14ac:dyDescent="0.2">
      <c r="A340" s="3" t="s">
        <v>409</v>
      </c>
      <c r="B340" s="4">
        <v>-1</v>
      </c>
      <c r="C340" s="4">
        <v>1</v>
      </c>
      <c r="D340" s="4">
        <v>-1</v>
      </c>
    </row>
    <row r="341" spans="1:4" x14ac:dyDescent="0.2">
      <c r="A341" s="3" t="s">
        <v>14</v>
      </c>
      <c r="B341" s="4">
        <v>-10</v>
      </c>
      <c r="C341" s="4">
        <v>1</v>
      </c>
      <c r="D341" s="4">
        <v>-10</v>
      </c>
    </row>
    <row r="342" spans="1:4" x14ac:dyDescent="0.2">
      <c r="A342" s="3" t="s">
        <v>116</v>
      </c>
      <c r="B342" s="4">
        <v>-5</v>
      </c>
      <c r="C342" s="4">
        <v>1</v>
      </c>
      <c r="D342" s="4">
        <v>-5</v>
      </c>
    </row>
    <row r="343" spans="1:4" x14ac:dyDescent="0.2">
      <c r="A343" s="3" t="s">
        <v>410</v>
      </c>
      <c r="B343" s="4">
        <v>-1</v>
      </c>
      <c r="C343" s="4">
        <v>1</v>
      </c>
      <c r="D343" s="4">
        <v>-1</v>
      </c>
    </row>
    <row r="344" spans="1:4" x14ac:dyDescent="0.2">
      <c r="A344" s="3" t="s">
        <v>411</v>
      </c>
      <c r="B344" s="4">
        <v>-10</v>
      </c>
      <c r="C344" s="4">
        <v>1</v>
      </c>
      <c r="D344" s="4">
        <v>-10</v>
      </c>
    </row>
    <row r="345" spans="1:4" x14ac:dyDescent="0.2">
      <c r="A345" s="3" t="s">
        <v>412</v>
      </c>
      <c r="B345" s="4">
        <v>-10</v>
      </c>
      <c r="C345" s="4">
        <v>1</v>
      </c>
      <c r="D345" s="4">
        <v>-10</v>
      </c>
    </row>
    <row r="346" spans="1:4" x14ac:dyDescent="0.2">
      <c r="A346" s="3" t="s">
        <v>413</v>
      </c>
      <c r="B346" s="4">
        <v>-1</v>
      </c>
      <c r="C346" s="4">
        <v>1</v>
      </c>
      <c r="D346" s="4">
        <v>-1</v>
      </c>
    </row>
    <row r="347" spans="1:4" x14ac:dyDescent="0.2">
      <c r="A347" s="3" t="s">
        <v>414</v>
      </c>
      <c r="B347" s="4">
        <v>-1</v>
      </c>
      <c r="C347" s="4">
        <v>1</v>
      </c>
      <c r="D347" s="4">
        <v>-1</v>
      </c>
    </row>
    <row r="348" spans="1:4" x14ac:dyDescent="0.2">
      <c r="A348" s="3" t="s">
        <v>415</v>
      </c>
      <c r="B348" s="4">
        <v>-3</v>
      </c>
      <c r="C348" s="4">
        <v>1</v>
      </c>
      <c r="D348" s="4">
        <v>-3</v>
      </c>
    </row>
    <row r="349" spans="1:4" x14ac:dyDescent="0.2">
      <c r="A349" s="3" t="s">
        <v>416</v>
      </c>
      <c r="B349" s="4">
        <v>-1</v>
      </c>
      <c r="C349" s="4">
        <v>1</v>
      </c>
      <c r="D349" s="4">
        <v>-1</v>
      </c>
    </row>
    <row r="350" spans="1:4" x14ac:dyDescent="0.2">
      <c r="A350" s="3" t="s">
        <v>6</v>
      </c>
      <c r="B350" s="4">
        <v>-5</v>
      </c>
      <c r="C350" s="4">
        <v>1</v>
      </c>
      <c r="D350" s="4">
        <v>-5</v>
      </c>
    </row>
    <row r="351" spans="1:4" x14ac:dyDescent="0.2">
      <c r="A351" s="3" t="s">
        <v>417</v>
      </c>
      <c r="B351" s="4">
        <v>-1</v>
      </c>
      <c r="C351" s="4">
        <v>1</v>
      </c>
      <c r="D351" s="4">
        <v>-1</v>
      </c>
    </row>
    <row r="352" spans="1:4" x14ac:dyDescent="0.2">
      <c r="A352" s="3" t="s">
        <v>418</v>
      </c>
      <c r="B352" s="4">
        <v>-1</v>
      </c>
      <c r="C352" s="4">
        <v>1</v>
      </c>
      <c r="D352" s="4">
        <v>-1</v>
      </c>
    </row>
    <row r="353" spans="1:4" x14ac:dyDescent="0.2">
      <c r="A353" s="3" t="s">
        <v>419</v>
      </c>
      <c r="B353" s="4">
        <v>-1</v>
      </c>
      <c r="C353" s="4">
        <v>1</v>
      </c>
      <c r="D353" s="4">
        <v>-1</v>
      </c>
    </row>
    <row r="354" spans="1:4" x14ac:dyDescent="0.2">
      <c r="A354" s="3" t="s">
        <v>420</v>
      </c>
      <c r="B354" s="4">
        <v>-1</v>
      </c>
      <c r="C354" s="4">
        <v>1</v>
      </c>
      <c r="D354" s="4">
        <v>-1</v>
      </c>
    </row>
    <row r="355" spans="1:4" x14ac:dyDescent="0.2">
      <c r="A355" s="3" t="s">
        <v>48</v>
      </c>
      <c r="B355" s="4">
        <v>-10</v>
      </c>
      <c r="C355" s="4">
        <v>1</v>
      </c>
      <c r="D355" s="4">
        <v>-10</v>
      </c>
    </row>
    <row r="356" spans="1:4" x14ac:dyDescent="0.2">
      <c r="A356" s="3" t="s">
        <v>421</v>
      </c>
      <c r="B356" s="4">
        <v>-3</v>
      </c>
      <c r="C356" s="4">
        <v>1</v>
      </c>
      <c r="D356" s="4">
        <v>-3</v>
      </c>
    </row>
    <row r="357" spans="1:4" x14ac:dyDescent="0.2">
      <c r="A357" s="3" t="s">
        <v>422</v>
      </c>
      <c r="B357" s="4">
        <v>-1</v>
      </c>
      <c r="C357" s="4">
        <v>1</v>
      </c>
      <c r="D357" s="4">
        <v>-1</v>
      </c>
    </row>
    <row r="358" spans="1:4" x14ac:dyDescent="0.2">
      <c r="A358" s="3" t="s">
        <v>423</v>
      </c>
      <c r="B358" s="4">
        <v>-1</v>
      </c>
      <c r="C358" s="4">
        <v>1</v>
      </c>
      <c r="D358" s="4">
        <v>-1</v>
      </c>
    </row>
    <row r="359" spans="1:4" x14ac:dyDescent="0.2">
      <c r="A359" s="3" t="s">
        <v>133</v>
      </c>
      <c r="B359" s="4">
        <v>-10</v>
      </c>
      <c r="C359" s="4">
        <v>1</v>
      </c>
      <c r="D359" s="4">
        <v>-10</v>
      </c>
    </row>
    <row r="360" spans="1:4" x14ac:dyDescent="0.2">
      <c r="A360" s="3" t="s">
        <v>424</v>
      </c>
      <c r="B360" s="4">
        <v>-1</v>
      </c>
      <c r="C360" s="4">
        <v>1</v>
      </c>
      <c r="D360" s="4">
        <v>-1</v>
      </c>
    </row>
    <row r="361" spans="1:4" x14ac:dyDescent="0.2">
      <c r="A361" s="3" t="s">
        <v>425</v>
      </c>
      <c r="B361" s="4">
        <v>-1</v>
      </c>
      <c r="C361" s="4">
        <v>1</v>
      </c>
      <c r="D361" s="4">
        <v>-1</v>
      </c>
    </row>
    <row r="362" spans="1:4" x14ac:dyDescent="0.2">
      <c r="A362" s="3" t="s">
        <v>143</v>
      </c>
      <c r="B362" s="4">
        <v>-20</v>
      </c>
      <c r="C362" s="4">
        <v>1</v>
      </c>
      <c r="D362" s="4">
        <v>-20</v>
      </c>
    </row>
    <row r="363" spans="1:4" x14ac:dyDescent="0.2">
      <c r="A363" s="3" t="s">
        <v>426</v>
      </c>
      <c r="B363" s="4">
        <v>-2</v>
      </c>
      <c r="C363" s="4">
        <v>1</v>
      </c>
      <c r="D363" s="4">
        <v>-2</v>
      </c>
    </row>
    <row r="364" spans="1:4" x14ac:dyDescent="0.2">
      <c r="A364" s="3" t="s">
        <v>427</v>
      </c>
      <c r="B364" s="4">
        <v>-2</v>
      </c>
      <c r="C364" s="4">
        <v>1</v>
      </c>
      <c r="D364" s="4">
        <v>-2</v>
      </c>
    </row>
    <row r="365" spans="1:4" x14ac:dyDescent="0.2">
      <c r="A365" s="3" t="s">
        <v>428</v>
      </c>
      <c r="B365" s="4">
        <v>-1</v>
      </c>
      <c r="C365" s="4">
        <v>1</v>
      </c>
      <c r="D365" s="4">
        <v>-1</v>
      </c>
    </row>
    <row r="366" spans="1:4" x14ac:dyDescent="0.2">
      <c r="A366" s="3" t="s">
        <v>429</v>
      </c>
      <c r="B366" s="4">
        <v>-1</v>
      </c>
      <c r="C366" s="4">
        <v>1</v>
      </c>
      <c r="D366" s="4">
        <v>-1</v>
      </c>
    </row>
    <row r="367" spans="1:4" x14ac:dyDescent="0.2">
      <c r="A367" s="3" t="s">
        <v>430</v>
      </c>
      <c r="B367" s="4">
        <v>-10</v>
      </c>
      <c r="C367" s="4">
        <v>1</v>
      </c>
      <c r="D367" s="4">
        <v>-10</v>
      </c>
    </row>
    <row r="368" spans="1:4" x14ac:dyDescent="0.2">
      <c r="A368" s="3" t="s">
        <v>431</v>
      </c>
      <c r="B368" s="4">
        <v>-1</v>
      </c>
      <c r="C368" s="4">
        <v>1</v>
      </c>
      <c r="D368" s="4">
        <v>-1</v>
      </c>
    </row>
    <row r="369" spans="1:4" x14ac:dyDescent="0.2">
      <c r="A369" s="3" t="s">
        <v>432</v>
      </c>
      <c r="B369" s="4">
        <v>-1</v>
      </c>
      <c r="C369" s="4">
        <v>1</v>
      </c>
      <c r="D369" s="4">
        <v>-1</v>
      </c>
    </row>
    <row r="370" spans="1:4" x14ac:dyDescent="0.2">
      <c r="A370" s="3" t="s">
        <v>433</v>
      </c>
      <c r="B370" s="4">
        <v>-10</v>
      </c>
      <c r="C370" s="4">
        <v>1</v>
      </c>
      <c r="D370" s="4">
        <v>-10</v>
      </c>
    </row>
    <row r="371" spans="1:4" x14ac:dyDescent="0.2">
      <c r="A371" s="3" t="s">
        <v>434</v>
      </c>
      <c r="B371" s="4">
        <v>-3</v>
      </c>
      <c r="C371" s="4">
        <v>1</v>
      </c>
      <c r="D371" s="4">
        <v>-3</v>
      </c>
    </row>
    <row r="372" spans="1:4" x14ac:dyDescent="0.2">
      <c r="A372" s="3" t="s">
        <v>435</v>
      </c>
      <c r="B372" s="4">
        <v>-10</v>
      </c>
      <c r="C372" s="4">
        <v>1</v>
      </c>
      <c r="D372" s="4">
        <v>-10</v>
      </c>
    </row>
    <row r="373" spans="1:4" x14ac:dyDescent="0.2">
      <c r="A373" s="3" t="s">
        <v>436</v>
      </c>
      <c r="B373" s="4">
        <v>-1</v>
      </c>
      <c r="C373" s="4">
        <v>1</v>
      </c>
      <c r="D373" s="4">
        <v>-1</v>
      </c>
    </row>
    <row r="374" spans="1:4" x14ac:dyDescent="0.2">
      <c r="A374" s="3" t="s">
        <v>153</v>
      </c>
      <c r="B374" s="4">
        <v>-2</v>
      </c>
      <c r="C374" s="4">
        <v>1</v>
      </c>
      <c r="D374" s="4">
        <v>-2</v>
      </c>
    </row>
    <row r="375" spans="1:4" x14ac:dyDescent="0.2">
      <c r="A375" s="3" t="s">
        <v>437</v>
      </c>
      <c r="B375" s="4">
        <v>-1</v>
      </c>
      <c r="C375" s="4">
        <v>1</v>
      </c>
      <c r="D375" s="4">
        <v>-1</v>
      </c>
    </row>
    <row r="376" spans="1:4" x14ac:dyDescent="0.2">
      <c r="A376" s="3" t="s">
        <v>189</v>
      </c>
      <c r="B376" s="4">
        <v>-1</v>
      </c>
      <c r="C376" s="4">
        <v>1</v>
      </c>
      <c r="D376" s="4">
        <v>-1</v>
      </c>
    </row>
    <row r="377" spans="1:4" x14ac:dyDescent="0.2">
      <c r="A377" s="3" t="s">
        <v>17</v>
      </c>
      <c r="B377" s="4">
        <v>-10</v>
      </c>
      <c r="C377" s="4">
        <v>1</v>
      </c>
      <c r="D377" s="4">
        <v>-10</v>
      </c>
    </row>
    <row r="378" spans="1:4" x14ac:dyDescent="0.2">
      <c r="A378" s="3" t="s">
        <v>438</v>
      </c>
      <c r="B378" s="4">
        <v>-1</v>
      </c>
      <c r="C378" s="4">
        <v>1</v>
      </c>
      <c r="D378" s="4">
        <v>-1</v>
      </c>
    </row>
    <row r="379" spans="1:4" x14ac:dyDescent="0.2">
      <c r="A379" s="3" t="s">
        <v>439</v>
      </c>
      <c r="B379" s="4">
        <v>-1</v>
      </c>
      <c r="C379" s="4">
        <v>1</v>
      </c>
      <c r="D379" s="4">
        <v>-1</v>
      </c>
    </row>
    <row r="380" spans="1:4" x14ac:dyDescent="0.2">
      <c r="A380" s="3" t="s">
        <v>228</v>
      </c>
      <c r="B380" s="4">
        <v>-1</v>
      </c>
      <c r="C380" s="4">
        <v>1</v>
      </c>
      <c r="D380" s="4">
        <v>-1</v>
      </c>
    </row>
    <row r="381" spans="1:4" x14ac:dyDescent="0.2">
      <c r="A381" s="3" t="s">
        <v>440</v>
      </c>
      <c r="B381" s="4">
        <v>-1</v>
      </c>
      <c r="C381" s="4">
        <v>1</v>
      </c>
      <c r="D381" s="4">
        <v>-1</v>
      </c>
    </row>
    <row r="382" spans="1:4" x14ac:dyDescent="0.2">
      <c r="A382" s="3" t="s">
        <v>441</v>
      </c>
      <c r="B382" s="4">
        <v>-1</v>
      </c>
      <c r="C382" s="4">
        <v>1</v>
      </c>
      <c r="D382" s="4">
        <v>-1</v>
      </c>
    </row>
    <row r="383" spans="1:4" x14ac:dyDescent="0.2">
      <c r="A383" s="3" t="s">
        <v>442</v>
      </c>
      <c r="B383" s="4">
        <v>-1</v>
      </c>
      <c r="C383" s="4">
        <v>1</v>
      </c>
      <c r="D383" s="4">
        <v>-1</v>
      </c>
    </row>
    <row r="384" spans="1:4" x14ac:dyDescent="0.2">
      <c r="A384" s="3" t="s">
        <v>443</v>
      </c>
      <c r="B384" s="4">
        <v>-1</v>
      </c>
      <c r="C384" s="4">
        <v>1</v>
      </c>
      <c r="D384" s="4">
        <v>-1</v>
      </c>
    </row>
    <row r="385" spans="1:4" x14ac:dyDescent="0.2">
      <c r="A385" s="3" t="s">
        <v>444</v>
      </c>
      <c r="B385" s="4">
        <v>-1</v>
      </c>
      <c r="C385" s="4">
        <v>1</v>
      </c>
      <c r="D385" s="4">
        <v>-1</v>
      </c>
    </row>
    <row r="386" spans="1:4" x14ac:dyDescent="0.2">
      <c r="A386" s="3" t="s">
        <v>445</v>
      </c>
      <c r="B386" s="4">
        <v>-1</v>
      </c>
      <c r="C386" s="4">
        <v>1</v>
      </c>
      <c r="D386" s="4">
        <v>-1</v>
      </c>
    </row>
    <row r="387" spans="1:4" x14ac:dyDescent="0.2">
      <c r="A387" s="3" t="s">
        <v>446</v>
      </c>
      <c r="B387" s="4">
        <v>-10</v>
      </c>
      <c r="C387" s="4">
        <v>1</v>
      </c>
      <c r="D387" s="4">
        <v>-10</v>
      </c>
    </row>
    <row r="388" spans="1:4" x14ac:dyDescent="0.2">
      <c r="A388" s="3" t="s">
        <v>447</v>
      </c>
      <c r="B388" s="4">
        <v>-1</v>
      </c>
      <c r="C388" s="4">
        <v>1</v>
      </c>
      <c r="D388" s="4">
        <v>-1</v>
      </c>
    </row>
    <row r="389" spans="1:4" x14ac:dyDescent="0.2">
      <c r="A389" s="3" t="s">
        <v>448</v>
      </c>
      <c r="B389" s="4">
        <v>-1</v>
      </c>
      <c r="C389" s="4">
        <v>1</v>
      </c>
      <c r="D389" s="4">
        <v>-1</v>
      </c>
    </row>
    <row r="390" spans="1:4" x14ac:dyDescent="0.2">
      <c r="A390" s="3" t="s">
        <v>449</v>
      </c>
      <c r="B390" s="4">
        <v>-10</v>
      </c>
      <c r="C390" s="4">
        <v>1</v>
      </c>
      <c r="D390" s="4">
        <v>-10</v>
      </c>
    </row>
    <row r="391" spans="1:4" x14ac:dyDescent="0.2">
      <c r="A391" s="3" t="s">
        <v>125</v>
      </c>
      <c r="B391" s="4">
        <v>-1</v>
      </c>
      <c r="C391" s="4">
        <v>1</v>
      </c>
      <c r="D391" s="4">
        <v>-1</v>
      </c>
    </row>
    <row r="392" spans="1:4" x14ac:dyDescent="0.2">
      <c r="A392" s="3" t="s">
        <v>450</v>
      </c>
      <c r="B392" s="4">
        <v>-6</v>
      </c>
      <c r="C392" s="4">
        <v>1</v>
      </c>
      <c r="D392" s="4">
        <v>-6</v>
      </c>
    </row>
    <row r="393" spans="1:4" x14ac:dyDescent="0.2">
      <c r="A393" s="3" t="s">
        <v>163</v>
      </c>
      <c r="B393" s="4">
        <v>-1</v>
      </c>
      <c r="C393" s="4">
        <v>1</v>
      </c>
      <c r="D393" s="4">
        <v>-1</v>
      </c>
    </row>
    <row r="394" spans="1:4" x14ac:dyDescent="0.2">
      <c r="A394" s="3" t="s">
        <v>451</v>
      </c>
      <c r="B394" s="4">
        <v>-1</v>
      </c>
      <c r="C394" s="4">
        <v>1</v>
      </c>
      <c r="D394" s="4">
        <v>-1</v>
      </c>
    </row>
    <row r="395" spans="1:4" x14ac:dyDescent="0.2">
      <c r="A395" s="3" t="s">
        <v>452</v>
      </c>
      <c r="B395" s="4">
        <v>-1</v>
      </c>
      <c r="C395" s="4">
        <v>1</v>
      </c>
      <c r="D395" s="4">
        <v>-1</v>
      </c>
    </row>
    <row r="396" spans="1:4" x14ac:dyDescent="0.2">
      <c r="A396" s="3" t="s">
        <v>259</v>
      </c>
      <c r="B396" s="4">
        <v>-1</v>
      </c>
      <c r="C396" s="4">
        <v>1</v>
      </c>
      <c r="D396" s="4">
        <v>-1</v>
      </c>
    </row>
    <row r="397" spans="1:4" x14ac:dyDescent="0.2">
      <c r="A397" s="3" t="s">
        <v>453</v>
      </c>
      <c r="B397" s="4">
        <v>-2</v>
      </c>
      <c r="C397" s="4">
        <v>1</v>
      </c>
      <c r="D397" s="4">
        <v>-2</v>
      </c>
    </row>
    <row r="398" spans="1:4" x14ac:dyDescent="0.2">
      <c r="A398" s="3" t="s">
        <v>454</v>
      </c>
      <c r="B398" s="4">
        <v>-1</v>
      </c>
      <c r="C398" s="4">
        <v>1</v>
      </c>
      <c r="D398" s="4">
        <v>-1</v>
      </c>
    </row>
    <row r="399" spans="1:4" x14ac:dyDescent="0.2">
      <c r="A399" s="3" t="s">
        <v>455</v>
      </c>
      <c r="B399" s="4">
        <v>-1</v>
      </c>
      <c r="C399" s="4">
        <v>1</v>
      </c>
      <c r="D399" s="4">
        <v>-1</v>
      </c>
    </row>
    <row r="400" spans="1:4" x14ac:dyDescent="0.2">
      <c r="A400" s="3" t="s">
        <v>456</v>
      </c>
      <c r="B400" s="4">
        <v>-1</v>
      </c>
      <c r="C400" s="4">
        <v>1</v>
      </c>
      <c r="D400" s="4">
        <v>-1</v>
      </c>
    </row>
    <row r="401" spans="1:4" x14ac:dyDescent="0.2">
      <c r="A401" s="3" t="s">
        <v>457</v>
      </c>
      <c r="B401" s="4">
        <v>-1</v>
      </c>
      <c r="C401" s="4">
        <v>1</v>
      </c>
      <c r="D401" s="4">
        <v>-1</v>
      </c>
    </row>
    <row r="402" spans="1:4" x14ac:dyDescent="0.2">
      <c r="A402" s="3" t="s">
        <v>8</v>
      </c>
      <c r="B402" s="4">
        <v>-10</v>
      </c>
      <c r="C402" s="4">
        <v>1</v>
      </c>
      <c r="D402" s="4">
        <v>-10</v>
      </c>
    </row>
    <row r="403" spans="1:4" x14ac:dyDescent="0.2">
      <c r="A403" s="3" t="s">
        <v>458</v>
      </c>
      <c r="B403" s="4">
        <v>-1</v>
      </c>
      <c r="C403" s="4">
        <v>1</v>
      </c>
      <c r="D403" s="4">
        <v>-1</v>
      </c>
    </row>
    <row r="404" spans="1:4" x14ac:dyDescent="0.2">
      <c r="A404" s="3" t="s">
        <v>459</v>
      </c>
      <c r="B404" s="4">
        <v>-10</v>
      </c>
      <c r="C404" s="4">
        <v>1</v>
      </c>
      <c r="D404" s="4">
        <v>-10</v>
      </c>
    </row>
    <row r="405" spans="1:4" x14ac:dyDescent="0.2">
      <c r="A405" s="3" t="s">
        <v>460</v>
      </c>
      <c r="B405" s="4">
        <v>-3</v>
      </c>
      <c r="C405" s="4">
        <v>1</v>
      </c>
      <c r="D405" s="4">
        <v>-3</v>
      </c>
    </row>
    <row r="406" spans="1:4" x14ac:dyDescent="0.2">
      <c r="A406" s="3" t="s">
        <v>233</v>
      </c>
      <c r="B406" s="4">
        <v>-1</v>
      </c>
      <c r="C406" s="4">
        <v>1</v>
      </c>
      <c r="D406" s="4">
        <v>-1</v>
      </c>
    </row>
    <row r="407" spans="1:4" x14ac:dyDescent="0.2">
      <c r="A407" s="3" t="s">
        <v>461</v>
      </c>
      <c r="B407" s="4">
        <v>-1</v>
      </c>
      <c r="C407" s="4">
        <v>1</v>
      </c>
      <c r="D407" s="4">
        <v>-1</v>
      </c>
    </row>
    <row r="408" spans="1:4" x14ac:dyDescent="0.2">
      <c r="A408" s="3" t="s">
        <v>462</v>
      </c>
      <c r="B408" s="4">
        <v>-1</v>
      </c>
      <c r="C408" s="4">
        <v>1</v>
      </c>
      <c r="D408" s="4">
        <v>-1</v>
      </c>
    </row>
    <row r="409" spans="1:4" x14ac:dyDescent="0.2">
      <c r="A409" s="3" t="s">
        <v>463</v>
      </c>
      <c r="B409" s="4">
        <v>-10</v>
      </c>
      <c r="C409" s="4">
        <v>1</v>
      </c>
      <c r="D409" s="4">
        <v>-10</v>
      </c>
    </row>
    <row r="410" spans="1:4" x14ac:dyDescent="0.2">
      <c r="A410" s="3" t="s">
        <v>464</v>
      </c>
      <c r="B410" s="4">
        <v>-3</v>
      </c>
      <c r="C410" s="4">
        <v>1</v>
      </c>
      <c r="D410" s="4">
        <v>-3</v>
      </c>
    </row>
    <row r="411" spans="1:4" x14ac:dyDescent="0.2">
      <c r="A411" s="3" t="s">
        <v>465</v>
      </c>
      <c r="B411" s="4">
        <v>-10</v>
      </c>
      <c r="C411" s="4">
        <v>1</v>
      </c>
      <c r="D411" s="4">
        <v>-10</v>
      </c>
    </row>
    <row r="412" spans="1:4" x14ac:dyDescent="0.2">
      <c r="A412" s="3" t="s">
        <v>151</v>
      </c>
      <c r="B412" s="4">
        <v>-4</v>
      </c>
      <c r="C412" s="4">
        <v>1</v>
      </c>
      <c r="D412" s="4">
        <v>-4</v>
      </c>
    </row>
    <row r="413" spans="1:4" x14ac:dyDescent="0.2">
      <c r="A413" s="3" t="s">
        <v>466</v>
      </c>
      <c r="B413" s="4">
        <v>-1</v>
      </c>
      <c r="C413" s="4">
        <v>1</v>
      </c>
      <c r="D413" s="4">
        <v>-1</v>
      </c>
    </row>
    <row r="414" spans="1:4" x14ac:dyDescent="0.2">
      <c r="A414" s="3" t="s">
        <v>467</v>
      </c>
      <c r="B414" s="4">
        <v>-1</v>
      </c>
      <c r="C414" s="4">
        <v>1</v>
      </c>
      <c r="D414" s="4">
        <v>-1</v>
      </c>
    </row>
    <row r="415" spans="1:4" x14ac:dyDescent="0.2">
      <c r="A415" s="3" t="s">
        <v>468</v>
      </c>
      <c r="B415" s="4">
        <v>-3</v>
      </c>
      <c r="C415" s="4">
        <v>1</v>
      </c>
      <c r="D415" s="4">
        <v>-3</v>
      </c>
    </row>
    <row r="416" spans="1:4" x14ac:dyDescent="0.2">
      <c r="A416" s="3" t="s">
        <v>469</v>
      </c>
      <c r="B416" s="4">
        <v>-1</v>
      </c>
      <c r="C416" s="4">
        <v>1</v>
      </c>
      <c r="D416" s="4">
        <v>-1</v>
      </c>
    </row>
    <row r="417" spans="1:4" x14ac:dyDescent="0.2">
      <c r="A417" s="3" t="s">
        <v>470</v>
      </c>
      <c r="B417" s="4">
        <v>-1</v>
      </c>
      <c r="C417" s="4">
        <v>1</v>
      </c>
      <c r="D417" s="4">
        <v>-1</v>
      </c>
    </row>
    <row r="418" spans="1:4" x14ac:dyDescent="0.2">
      <c r="A418" s="3" t="s">
        <v>471</v>
      </c>
      <c r="B418" s="4">
        <v>-1</v>
      </c>
      <c r="C418" s="4">
        <v>1</v>
      </c>
      <c r="D418" s="4">
        <v>-1</v>
      </c>
    </row>
    <row r="419" spans="1:4" x14ac:dyDescent="0.2">
      <c r="A419" s="3" t="s">
        <v>472</v>
      </c>
      <c r="B419" s="4">
        <v>-1</v>
      </c>
      <c r="C419" s="4">
        <v>1</v>
      </c>
      <c r="D419" s="4">
        <v>-1</v>
      </c>
    </row>
    <row r="420" spans="1:4" x14ac:dyDescent="0.2">
      <c r="A420" s="3" t="s">
        <v>21</v>
      </c>
      <c r="B420" s="4">
        <v>-10</v>
      </c>
      <c r="C420" s="4">
        <v>1</v>
      </c>
      <c r="D420" s="4">
        <v>-10</v>
      </c>
    </row>
    <row r="421" spans="1:4" x14ac:dyDescent="0.2">
      <c r="A421" s="3" t="s">
        <v>473</v>
      </c>
      <c r="B421" s="4">
        <v>-1</v>
      </c>
      <c r="C421" s="4">
        <v>1</v>
      </c>
      <c r="D421" s="4">
        <v>-1</v>
      </c>
    </row>
    <row r="422" spans="1:4" x14ac:dyDescent="0.2">
      <c r="A422" s="3" t="s">
        <v>474</v>
      </c>
      <c r="B422" s="4">
        <v>-1</v>
      </c>
      <c r="C422" s="4">
        <v>1</v>
      </c>
      <c r="D422" s="4">
        <v>-1</v>
      </c>
    </row>
    <row r="423" spans="1:4" x14ac:dyDescent="0.2">
      <c r="A423" s="3" t="s">
        <v>18</v>
      </c>
      <c r="B423" s="4">
        <v>-10</v>
      </c>
      <c r="C423" s="4">
        <v>1</v>
      </c>
      <c r="D423" s="4">
        <v>-10</v>
      </c>
    </row>
    <row r="424" spans="1:4" x14ac:dyDescent="0.2">
      <c r="A424" s="3" t="s">
        <v>129</v>
      </c>
      <c r="B424" s="4">
        <v>-10</v>
      </c>
      <c r="C424" s="4">
        <v>1</v>
      </c>
      <c r="D424" s="4">
        <v>-10</v>
      </c>
    </row>
    <row r="425" spans="1:4" x14ac:dyDescent="0.2">
      <c r="A425" s="3" t="s">
        <v>475</v>
      </c>
      <c r="B425" s="4">
        <v>-1</v>
      </c>
      <c r="C425" s="4">
        <v>1</v>
      </c>
      <c r="D425" s="4">
        <v>-1</v>
      </c>
    </row>
    <row r="426" spans="1:4" x14ac:dyDescent="0.2">
      <c r="A426" s="3" t="s">
        <v>476</v>
      </c>
      <c r="B426" s="4">
        <v>-1</v>
      </c>
      <c r="C426" s="4">
        <v>1</v>
      </c>
      <c r="D426" s="4">
        <v>-1</v>
      </c>
    </row>
    <row r="427" spans="1:4" x14ac:dyDescent="0.2">
      <c r="A427" s="3" t="s">
        <v>477</v>
      </c>
      <c r="B427" s="4">
        <v>-1</v>
      </c>
      <c r="C427" s="4">
        <v>1</v>
      </c>
      <c r="D427" s="4">
        <v>-1</v>
      </c>
    </row>
    <row r="428" spans="1:4" x14ac:dyDescent="0.2">
      <c r="A428" s="3" t="s">
        <v>478</v>
      </c>
      <c r="B428" s="4">
        <v>-1</v>
      </c>
      <c r="C428" s="4">
        <v>1</v>
      </c>
      <c r="D428" s="4">
        <v>-1</v>
      </c>
    </row>
    <row r="429" spans="1:4" x14ac:dyDescent="0.2">
      <c r="A429" s="3" t="s">
        <v>479</v>
      </c>
      <c r="B429" s="4">
        <v>-1</v>
      </c>
      <c r="C429" s="4">
        <v>1</v>
      </c>
      <c r="D429" s="4">
        <v>-1</v>
      </c>
    </row>
    <row r="430" spans="1:4" x14ac:dyDescent="0.2">
      <c r="A430" s="3" t="s">
        <v>111</v>
      </c>
      <c r="B430" s="4">
        <v>-10</v>
      </c>
      <c r="C430" s="4">
        <v>1</v>
      </c>
      <c r="D430" s="4">
        <v>-10</v>
      </c>
    </row>
    <row r="431" spans="1:4" x14ac:dyDescent="0.2">
      <c r="A431" s="3" t="s">
        <v>480</v>
      </c>
      <c r="B431" s="4">
        <v>-1</v>
      </c>
      <c r="C431" s="4">
        <v>1</v>
      </c>
      <c r="D431" s="4">
        <v>-1</v>
      </c>
    </row>
    <row r="432" spans="1:4" x14ac:dyDescent="0.2">
      <c r="A432" s="3" t="s">
        <v>481</v>
      </c>
      <c r="B432" s="4">
        <v>-1</v>
      </c>
      <c r="C432" s="4">
        <v>1</v>
      </c>
      <c r="D432" s="4">
        <v>-1</v>
      </c>
    </row>
    <row r="433" spans="1:4" x14ac:dyDescent="0.2">
      <c r="A433" s="3" t="s">
        <v>482</v>
      </c>
      <c r="B433" s="4">
        <v>-1</v>
      </c>
      <c r="C433" s="4">
        <v>1</v>
      </c>
      <c r="D433" s="4">
        <v>-1</v>
      </c>
    </row>
    <row r="434" spans="1:4" x14ac:dyDescent="0.2">
      <c r="A434" s="3" t="s">
        <v>483</v>
      </c>
      <c r="B434" s="4">
        <v>-1</v>
      </c>
      <c r="C434" s="4">
        <v>1</v>
      </c>
      <c r="D434" s="4">
        <v>-1</v>
      </c>
    </row>
    <row r="435" spans="1:4" x14ac:dyDescent="0.2">
      <c r="A435" s="3" t="s">
        <v>484</v>
      </c>
      <c r="B435" s="4">
        <v>-1</v>
      </c>
      <c r="C435" s="4">
        <v>1</v>
      </c>
      <c r="D435" s="4">
        <v>-1</v>
      </c>
    </row>
    <row r="436" spans="1:4" x14ac:dyDescent="0.2">
      <c r="A436" s="3" t="s">
        <v>485</v>
      </c>
      <c r="B436" s="4">
        <v>-1</v>
      </c>
      <c r="C436" s="4">
        <v>1</v>
      </c>
      <c r="D436" s="4">
        <v>-1</v>
      </c>
    </row>
    <row r="437" spans="1:4" x14ac:dyDescent="0.2">
      <c r="A437" s="3" t="s">
        <v>69</v>
      </c>
      <c r="B437" s="4">
        <v>-10</v>
      </c>
      <c r="C437" s="4">
        <v>1</v>
      </c>
      <c r="D437" s="4">
        <v>-10</v>
      </c>
    </row>
    <row r="438" spans="1:4" x14ac:dyDescent="0.2">
      <c r="A438" s="3" t="s">
        <v>486</v>
      </c>
      <c r="B438" s="4">
        <v>-1</v>
      </c>
      <c r="C438" s="4">
        <v>1</v>
      </c>
      <c r="D438" s="4">
        <v>-1</v>
      </c>
    </row>
    <row r="439" spans="1:4" x14ac:dyDescent="0.2">
      <c r="A439" s="3" t="s">
        <v>487</v>
      </c>
      <c r="B439" s="4">
        <v>-1</v>
      </c>
      <c r="C439" s="4">
        <v>1</v>
      </c>
      <c r="D439" s="4">
        <v>-1</v>
      </c>
    </row>
    <row r="440" spans="1:4" x14ac:dyDescent="0.2">
      <c r="A440" s="3" t="s">
        <v>488</v>
      </c>
      <c r="B440" s="4">
        <v>-1</v>
      </c>
      <c r="C440" s="4">
        <v>1</v>
      </c>
      <c r="D440" s="4">
        <v>-1</v>
      </c>
    </row>
    <row r="441" spans="1:4" x14ac:dyDescent="0.2">
      <c r="A441" s="3" t="s">
        <v>209</v>
      </c>
      <c r="B441" s="4">
        <v>-1</v>
      </c>
      <c r="C441" s="4">
        <v>1</v>
      </c>
      <c r="D441" s="4">
        <v>-1</v>
      </c>
    </row>
    <row r="442" spans="1:4" x14ac:dyDescent="0.2">
      <c r="A442" s="3" t="s">
        <v>489</v>
      </c>
      <c r="B442" s="4">
        <v>-10</v>
      </c>
      <c r="C442" s="4">
        <v>1</v>
      </c>
      <c r="D442" s="4">
        <v>-10</v>
      </c>
    </row>
    <row r="443" spans="1:4" x14ac:dyDescent="0.2">
      <c r="A443" s="3" t="s">
        <v>490</v>
      </c>
      <c r="B443" s="4">
        <v>-2</v>
      </c>
      <c r="C443" s="4">
        <v>1</v>
      </c>
      <c r="D443" s="4">
        <v>-2</v>
      </c>
    </row>
    <row r="444" spans="1:4" x14ac:dyDescent="0.2">
      <c r="A444" s="3" t="s">
        <v>199</v>
      </c>
      <c r="B444" s="4">
        <v>-1</v>
      </c>
      <c r="C444" s="4">
        <v>1</v>
      </c>
      <c r="D444" s="4">
        <v>-1</v>
      </c>
    </row>
    <row r="445" spans="1:4" x14ac:dyDescent="0.2">
      <c r="A445" s="3" t="s">
        <v>491</v>
      </c>
      <c r="B445" s="4">
        <v>-1</v>
      </c>
      <c r="C445" s="4">
        <v>1</v>
      </c>
      <c r="D445" s="4">
        <v>-1</v>
      </c>
    </row>
    <row r="446" spans="1:4" x14ac:dyDescent="0.2">
      <c r="A446" s="3" t="s">
        <v>492</v>
      </c>
      <c r="B446" s="4">
        <v>-1</v>
      </c>
      <c r="C446" s="4">
        <v>1</v>
      </c>
      <c r="D446" s="4">
        <v>-1</v>
      </c>
    </row>
    <row r="447" spans="1:4" x14ac:dyDescent="0.2">
      <c r="A447" s="3" t="s">
        <v>493</v>
      </c>
      <c r="B447" s="4">
        <v>-1</v>
      </c>
      <c r="C447" s="4">
        <v>1</v>
      </c>
      <c r="D447" s="4">
        <v>-1</v>
      </c>
    </row>
    <row r="448" spans="1:4" x14ac:dyDescent="0.2">
      <c r="A448" s="3" t="s">
        <v>494</v>
      </c>
      <c r="B448" s="4">
        <v>-8</v>
      </c>
      <c r="C448" s="4">
        <v>1</v>
      </c>
      <c r="D448" s="4">
        <v>-8</v>
      </c>
    </row>
    <row r="449" spans="1:4" x14ac:dyDescent="0.2">
      <c r="A449" s="3" t="s">
        <v>198</v>
      </c>
      <c r="B449" s="4">
        <v>-1</v>
      </c>
      <c r="C449" s="4">
        <v>1</v>
      </c>
      <c r="D449" s="4">
        <v>-1</v>
      </c>
    </row>
    <row r="450" spans="1:4" x14ac:dyDescent="0.2">
      <c r="A450" s="3" t="s">
        <v>495</v>
      </c>
      <c r="B450" s="4">
        <v>-1</v>
      </c>
      <c r="C450" s="4">
        <v>1</v>
      </c>
      <c r="D450" s="4">
        <v>-1</v>
      </c>
    </row>
    <row r="451" spans="1:4" x14ac:dyDescent="0.2">
      <c r="A451" s="3" t="s">
        <v>496</v>
      </c>
      <c r="B451" s="4">
        <v>-1</v>
      </c>
      <c r="C451" s="4">
        <v>1</v>
      </c>
      <c r="D451" s="4">
        <v>-1</v>
      </c>
    </row>
    <row r="452" spans="1:4" x14ac:dyDescent="0.2">
      <c r="A452" s="3" t="s">
        <v>497</v>
      </c>
      <c r="B452" s="4">
        <v>-1</v>
      </c>
      <c r="C452" s="4">
        <v>1</v>
      </c>
      <c r="D452" s="4">
        <v>-1</v>
      </c>
    </row>
    <row r="453" spans="1:4" x14ac:dyDescent="0.2">
      <c r="A453" s="3" t="s">
        <v>498</v>
      </c>
      <c r="B453" s="4">
        <v>-1</v>
      </c>
      <c r="C453" s="4">
        <v>1</v>
      </c>
      <c r="D453" s="4">
        <v>-1</v>
      </c>
    </row>
    <row r="454" spans="1:4" x14ac:dyDescent="0.2">
      <c r="A454" s="3" t="s">
        <v>499</v>
      </c>
      <c r="B454" s="4">
        <v>-1</v>
      </c>
      <c r="C454" s="4">
        <v>1</v>
      </c>
      <c r="D454" s="4">
        <v>-1</v>
      </c>
    </row>
    <row r="455" spans="1:4" x14ac:dyDescent="0.2">
      <c r="A455" s="3" t="s">
        <v>500</v>
      </c>
      <c r="B455" s="4">
        <v>-1</v>
      </c>
      <c r="C455" s="4">
        <v>1</v>
      </c>
      <c r="D455" s="4">
        <v>-1</v>
      </c>
    </row>
    <row r="456" spans="1:4" x14ac:dyDescent="0.2">
      <c r="A456" s="3" t="s">
        <v>231</v>
      </c>
      <c r="B456" s="4">
        <v>-1</v>
      </c>
      <c r="C456" s="4">
        <v>1</v>
      </c>
      <c r="D456" s="4">
        <v>-1</v>
      </c>
    </row>
    <row r="457" spans="1:4" x14ac:dyDescent="0.2">
      <c r="A457" s="3" t="s">
        <v>501</v>
      </c>
      <c r="B457" s="4">
        <v>-3</v>
      </c>
      <c r="C457" s="4">
        <v>1</v>
      </c>
      <c r="D457" s="4">
        <v>-3</v>
      </c>
    </row>
    <row r="458" spans="1:4" x14ac:dyDescent="0.2">
      <c r="A458" s="3" t="s">
        <v>502</v>
      </c>
      <c r="B458" s="4">
        <v>-3</v>
      </c>
      <c r="C458" s="4">
        <v>1</v>
      </c>
      <c r="D458" s="4">
        <v>-3</v>
      </c>
    </row>
    <row r="459" spans="1:4" x14ac:dyDescent="0.2">
      <c r="A459" s="3" t="s">
        <v>503</v>
      </c>
      <c r="B459" s="4">
        <v>-1</v>
      </c>
      <c r="C459" s="4">
        <v>1</v>
      </c>
      <c r="D459" s="4">
        <v>-1</v>
      </c>
    </row>
    <row r="460" spans="1:4" x14ac:dyDescent="0.2">
      <c r="A460" s="3" t="s">
        <v>504</v>
      </c>
      <c r="B460" s="4">
        <v>-1</v>
      </c>
      <c r="C460" s="4">
        <v>1</v>
      </c>
      <c r="D460" s="4">
        <v>-1</v>
      </c>
    </row>
    <row r="461" spans="1:4" x14ac:dyDescent="0.2">
      <c r="A461" s="3" t="s">
        <v>505</v>
      </c>
      <c r="B461" s="4">
        <v>-1</v>
      </c>
      <c r="C461" s="4">
        <v>1</v>
      </c>
      <c r="D461" s="4">
        <v>-1</v>
      </c>
    </row>
    <row r="462" spans="1:4" x14ac:dyDescent="0.2">
      <c r="A462" s="3" t="s">
        <v>506</v>
      </c>
      <c r="B462" s="4">
        <v>-1</v>
      </c>
      <c r="C462" s="4">
        <v>1</v>
      </c>
      <c r="D462" s="4">
        <v>-1</v>
      </c>
    </row>
    <row r="463" spans="1:4" x14ac:dyDescent="0.2">
      <c r="A463" s="3" t="s">
        <v>507</v>
      </c>
      <c r="B463" s="4">
        <v>-1</v>
      </c>
      <c r="C463" s="4">
        <v>1</v>
      </c>
      <c r="D463" s="4">
        <v>-1</v>
      </c>
    </row>
    <row r="464" spans="1:4" x14ac:dyDescent="0.2">
      <c r="A464" s="3" t="s">
        <v>508</v>
      </c>
      <c r="B464" s="4">
        <v>-1</v>
      </c>
      <c r="C464" s="4">
        <v>1</v>
      </c>
      <c r="D464" s="4">
        <v>-1</v>
      </c>
    </row>
    <row r="465" spans="1:4" x14ac:dyDescent="0.2">
      <c r="A465" s="3" t="s">
        <v>509</v>
      </c>
      <c r="B465" s="4">
        <v>-2</v>
      </c>
      <c r="C465" s="4">
        <v>1</v>
      </c>
      <c r="D465" s="4">
        <v>-2</v>
      </c>
    </row>
    <row r="466" spans="1:4" x14ac:dyDescent="0.2">
      <c r="A466" s="3" t="s">
        <v>142</v>
      </c>
      <c r="B466" s="4">
        <v>-20</v>
      </c>
      <c r="C466" s="4">
        <v>1</v>
      </c>
      <c r="D466" s="4">
        <v>-20</v>
      </c>
    </row>
    <row r="467" spans="1:4" x14ac:dyDescent="0.2">
      <c r="A467" s="3" t="s">
        <v>57</v>
      </c>
      <c r="B467" s="4">
        <v>-10</v>
      </c>
      <c r="C467" s="4">
        <v>1</v>
      </c>
      <c r="D467" s="4">
        <v>-10</v>
      </c>
    </row>
    <row r="468" spans="1:4" x14ac:dyDescent="0.2">
      <c r="A468" s="3" t="s">
        <v>510</v>
      </c>
      <c r="B468" s="4">
        <v>-4</v>
      </c>
      <c r="C468" s="4">
        <v>1</v>
      </c>
      <c r="D468" s="4">
        <v>-4</v>
      </c>
    </row>
    <row r="469" spans="1:4" x14ac:dyDescent="0.2">
      <c r="A469" s="3" t="s">
        <v>511</v>
      </c>
      <c r="B469" s="4">
        <v>-1</v>
      </c>
      <c r="C469" s="4">
        <v>1</v>
      </c>
      <c r="D469" s="4">
        <v>-1</v>
      </c>
    </row>
    <row r="470" spans="1:4" x14ac:dyDescent="0.2">
      <c r="A470" s="3" t="s">
        <v>254</v>
      </c>
      <c r="B470" s="4">
        <v>-2</v>
      </c>
      <c r="C470" s="4">
        <v>1</v>
      </c>
      <c r="D470" s="4">
        <v>-2</v>
      </c>
    </row>
    <row r="471" spans="1:4" x14ac:dyDescent="0.2">
      <c r="A471" s="3" t="s">
        <v>512</v>
      </c>
      <c r="B471" s="4">
        <v>-10</v>
      </c>
      <c r="C471" s="4">
        <v>1</v>
      </c>
      <c r="D471" s="4">
        <v>-10</v>
      </c>
    </row>
    <row r="472" spans="1:4" x14ac:dyDescent="0.2">
      <c r="A472" s="3" t="s">
        <v>181</v>
      </c>
      <c r="B472" s="4">
        <v>-1</v>
      </c>
      <c r="C472" s="4">
        <v>1</v>
      </c>
      <c r="D472" s="4">
        <v>-1</v>
      </c>
    </row>
    <row r="473" spans="1:4" x14ac:dyDescent="0.2">
      <c r="A473" s="3" t="s">
        <v>513</v>
      </c>
      <c r="B473" s="4">
        <v>-1</v>
      </c>
      <c r="C473" s="4">
        <v>1</v>
      </c>
      <c r="D473" s="4">
        <v>-1</v>
      </c>
    </row>
    <row r="474" spans="1:4" x14ac:dyDescent="0.2">
      <c r="A474" s="3" t="s">
        <v>251</v>
      </c>
      <c r="B474" s="4">
        <v>-1</v>
      </c>
      <c r="C474" s="4">
        <v>1</v>
      </c>
      <c r="D474" s="4">
        <v>-1</v>
      </c>
    </row>
    <row r="475" spans="1:4" x14ac:dyDescent="0.2">
      <c r="A475" s="3" t="s">
        <v>514</v>
      </c>
      <c r="B475" s="4">
        <v>-2</v>
      </c>
      <c r="C475" s="4">
        <v>1</v>
      </c>
      <c r="D475" s="4">
        <v>-2</v>
      </c>
    </row>
    <row r="476" spans="1:4" x14ac:dyDescent="0.2">
      <c r="A476" s="3" t="s">
        <v>515</v>
      </c>
      <c r="B476" s="4">
        <v>-1</v>
      </c>
      <c r="C476" s="4">
        <v>1</v>
      </c>
      <c r="D476" s="4">
        <v>-1</v>
      </c>
    </row>
    <row r="477" spans="1:4" x14ac:dyDescent="0.2">
      <c r="A477" s="3" t="s">
        <v>156</v>
      </c>
      <c r="B477" s="4">
        <v>-1</v>
      </c>
      <c r="C477" s="4">
        <v>1</v>
      </c>
      <c r="D477" s="4">
        <v>-1</v>
      </c>
    </row>
    <row r="478" spans="1:4" x14ac:dyDescent="0.2">
      <c r="A478" s="3" t="s">
        <v>516</v>
      </c>
      <c r="B478" s="4">
        <v>-1</v>
      </c>
      <c r="C478" s="4">
        <v>1</v>
      </c>
      <c r="D478" s="4">
        <v>-1</v>
      </c>
    </row>
    <row r="479" spans="1:4" x14ac:dyDescent="0.2">
      <c r="A479" s="3" t="s">
        <v>517</v>
      </c>
      <c r="B479" s="4">
        <v>-1</v>
      </c>
      <c r="C479" s="4">
        <v>1</v>
      </c>
      <c r="D479" s="4">
        <v>-1</v>
      </c>
    </row>
    <row r="480" spans="1:4" x14ac:dyDescent="0.2">
      <c r="A480" s="3" t="s">
        <v>518</v>
      </c>
      <c r="B480" s="4">
        <v>-1</v>
      </c>
      <c r="C480" s="4">
        <v>1</v>
      </c>
      <c r="D480" s="4">
        <v>-1</v>
      </c>
    </row>
    <row r="481" spans="1:4" x14ac:dyDescent="0.2">
      <c r="A481" s="3" t="s">
        <v>205</v>
      </c>
      <c r="B481" s="4">
        <v>-1</v>
      </c>
      <c r="C481" s="4">
        <v>1</v>
      </c>
      <c r="D481" s="4">
        <v>-1</v>
      </c>
    </row>
    <row r="482" spans="1:4" x14ac:dyDescent="0.2">
      <c r="A482" s="3" t="s">
        <v>519</v>
      </c>
      <c r="B482" s="4">
        <v>-1</v>
      </c>
      <c r="C482" s="4">
        <v>1</v>
      </c>
      <c r="D482" s="4">
        <v>-1</v>
      </c>
    </row>
    <row r="483" spans="1:4" x14ac:dyDescent="0.2">
      <c r="A483" s="3" t="s">
        <v>520</v>
      </c>
      <c r="B483" s="4">
        <v>-1</v>
      </c>
      <c r="C483" s="4">
        <v>1</v>
      </c>
      <c r="D483" s="4">
        <v>-1</v>
      </c>
    </row>
    <row r="484" spans="1:4" x14ac:dyDescent="0.2">
      <c r="A484" s="3" t="s">
        <v>521</v>
      </c>
      <c r="B484" s="4">
        <v>-1</v>
      </c>
      <c r="C484" s="4">
        <v>1</v>
      </c>
      <c r="D484" s="4">
        <v>-1</v>
      </c>
    </row>
    <row r="485" spans="1:4" x14ac:dyDescent="0.2">
      <c r="A485" s="3" t="s">
        <v>522</v>
      </c>
      <c r="B485" s="4">
        <v>-1</v>
      </c>
      <c r="C485" s="4">
        <v>1</v>
      </c>
      <c r="D485" s="4">
        <v>-1</v>
      </c>
    </row>
    <row r="486" spans="1:4" x14ac:dyDescent="0.2">
      <c r="A486" s="3" t="s">
        <v>523</v>
      </c>
      <c r="B486" s="4">
        <v>-1</v>
      </c>
      <c r="C486" s="4">
        <v>1</v>
      </c>
      <c r="D486" s="4">
        <v>-1</v>
      </c>
    </row>
    <row r="487" spans="1:4" x14ac:dyDescent="0.2">
      <c r="A487" s="3" t="s">
        <v>524</v>
      </c>
      <c r="B487" s="4">
        <v>-1</v>
      </c>
      <c r="C487" s="4">
        <v>1</v>
      </c>
      <c r="D487" s="4">
        <v>-1</v>
      </c>
    </row>
    <row r="488" spans="1:4" x14ac:dyDescent="0.2">
      <c r="A488" s="3" t="s">
        <v>525</v>
      </c>
      <c r="B488" s="4">
        <v>-1</v>
      </c>
      <c r="C488" s="4">
        <v>1</v>
      </c>
      <c r="D488" s="4">
        <v>-1</v>
      </c>
    </row>
    <row r="489" spans="1:4" x14ac:dyDescent="0.2">
      <c r="A489" s="3" t="s">
        <v>526</v>
      </c>
      <c r="B489" s="4">
        <v>-20</v>
      </c>
      <c r="C489" s="4">
        <v>1</v>
      </c>
      <c r="D489" s="4">
        <v>-20</v>
      </c>
    </row>
    <row r="490" spans="1:4" x14ac:dyDescent="0.2">
      <c r="A490" s="3" t="s">
        <v>527</v>
      </c>
      <c r="B490" s="4">
        <v>-1</v>
      </c>
      <c r="C490" s="4">
        <v>1</v>
      </c>
      <c r="D490" s="4">
        <v>-1</v>
      </c>
    </row>
    <row r="491" spans="1:4" x14ac:dyDescent="0.2">
      <c r="A491" s="3" t="s">
        <v>528</v>
      </c>
      <c r="B491" s="4">
        <v>-1</v>
      </c>
      <c r="C491" s="4">
        <v>1</v>
      </c>
      <c r="D491" s="4">
        <v>-1</v>
      </c>
    </row>
    <row r="492" spans="1:4" x14ac:dyDescent="0.2">
      <c r="A492" s="3" t="s">
        <v>529</v>
      </c>
      <c r="B492" s="4">
        <v>-1</v>
      </c>
      <c r="C492" s="4">
        <v>1</v>
      </c>
      <c r="D492" s="4">
        <v>-1</v>
      </c>
    </row>
    <row r="493" spans="1:4" x14ac:dyDescent="0.2">
      <c r="A493" s="3" t="s">
        <v>530</v>
      </c>
      <c r="B493" s="4">
        <v>-1</v>
      </c>
      <c r="C493" s="4">
        <v>1</v>
      </c>
      <c r="D493" s="4">
        <v>-1</v>
      </c>
    </row>
    <row r="494" spans="1:4" x14ac:dyDescent="0.2">
      <c r="A494" s="3" t="s">
        <v>531</v>
      </c>
      <c r="B494" s="4">
        <v>-10</v>
      </c>
      <c r="C494" s="4">
        <v>1</v>
      </c>
      <c r="D494" s="4">
        <v>-10</v>
      </c>
    </row>
    <row r="495" spans="1:4" x14ac:dyDescent="0.2">
      <c r="A495" s="3" t="s">
        <v>532</v>
      </c>
      <c r="B495" s="4">
        <v>-8</v>
      </c>
      <c r="C495" s="4">
        <v>1</v>
      </c>
      <c r="D495" s="4">
        <v>-8</v>
      </c>
    </row>
    <row r="496" spans="1:4" x14ac:dyDescent="0.2">
      <c r="A496" s="3" t="s">
        <v>152</v>
      </c>
      <c r="B496" s="4">
        <v>-4</v>
      </c>
      <c r="C496" s="4">
        <v>1</v>
      </c>
      <c r="D496" s="4">
        <v>-4</v>
      </c>
    </row>
    <row r="497" spans="1:4" x14ac:dyDescent="0.2">
      <c r="A497" s="3" t="s">
        <v>136</v>
      </c>
      <c r="B497" s="4">
        <v>-3</v>
      </c>
      <c r="C497" s="4">
        <v>1</v>
      </c>
      <c r="D497" s="4">
        <v>-3</v>
      </c>
    </row>
    <row r="498" spans="1:4" x14ac:dyDescent="0.2">
      <c r="A498" s="3" t="s">
        <v>533</v>
      </c>
      <c r="B498" s="4">
        <v>-1</v>
      </c>
      <c r="C498" s="4">
        <v>1</v>
      </c>
      <c r="D498" s="4">
        <v>-1</v>
      </c>
    </row>
    <row r="499" spans="1:4" x14ac:dyDescent="0.2">
      <c r="A499" s="3" t="s">
        <v>534</v>
      </c>
      <c r="B499" s="4">
        <v>-1</v>
      </c>
      <c r="C499" s="4">
        <v>1</v>
      </c>
      <c r="D499" s="4">
        <v>-1</v>
      </c>
    </row>
    <row r="500" spans="1:4" x14ac:dyDescent="0.2">
      <c r="A500" s="3" t="s">
        <v>535</v>
      </c>
      <c r="B500" s="4">
        <v>-8</v>
      </c>
      <c r="C500" s="4">
        <v>1</v>
      </c>
      <c r="D500" s="4">
        <v>-8</v>
      </c>
    </row>
    <row r="501" spans="1:4" x14ac:dyDescent="0.2">
      <c r="A501" s="3" t="s">
        <v>137</v>
      </c>
      <c r="B501" s="4">
        <v>-5</v>
      </c>
      <c r="C501" s="4">
        <v>1</v>
      </c>
      <c r="D501" s="4">
        <v>-5</v>
      </c>
    </row>
    <row r="502" spans="1:4" x14ac:dyDescent="0.2">
      <c r="A502" s="3" t="s">
        <v>536</v>
      </c>
      <c r="B502" s="4">
        <v>-1</v>
      </c>
      <c r="C502" s="4">
        <v>1</v>
      </c>
      <c r="D502" s="4">
        <v>-1</v>
      </c>
    </row>
    <row r="503" spans="1:4" x14ac:dyDescent="0.2">
      <c r="A503" s="3" t="s">
        <v>537</v>
      </c>
      <c r="B503" s="4">
        <v>-21</v>
      </c>
      <c r="C503" s="4">
        <v>1</v>
      </c>
      <c r="D503" s="4">
        <v>-21</v>
      </c>
    </row>
    <row r="504" spans="1:4" x14ac:dyDescent="0.2">
      <c r="A504" s="3" t="s">
        <v>15</v>
      </c>
      <c r="B504" s="4">
        <v>-10</v>
      </c>
      <c r="C504" s="4">
        <v>1</v>
      </c>
      <c r="D504" s="4">
        <v>-10</v>
      </c>
    </row>
    <row r="505" spans="1:4" x14ac:dyDescent="0.2">
      <c r="A505" s="3" t="s">
        <v>538</v>
      </c>
      <c r="B505" s="4">
        <v>-1</v>
      </c>
      <c r="C505" s="4">
        <v>1</v>
      </c>
      <c r="D505" s="4">
        <v>-1</v>
      </c>
    </row>
    <row r="506" spans="1:4" x14ac:dyDescent="0.2">
      <c r="A506" s="3" t="s">
        <v>539</v>
      </c>
      <c r="B506" s="4">
        <v>-1</v>
      </c>
      <c r="C506" s="4">
        <v>1</v>
      </c>
      <c r="D506" s="4">
        <v>-1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58707db-cea7-4907-92d1-cf323291762b}" enabled="1" method="Standard" siteId="{e11cbe9c-f680-44b9-9d42-d705f740b88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Indexable Inserts</vt:lpstr>
      <vt:lpstr>Stock_history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Lampio Olli</dc:creator>
  <cp:lastModifiedBy>Joakim Johansson</cp:lastModifiedBy>
  <dcterms:created xsi:type="dcterms:W3CDTF">2026-05-11T13:33:29Z</dcterms:created>
  <dcterms:modified xsi:type="dcterms:W3CDTF">2026-06-11T16:52:54Z</dcterms:modified>
</cp:coreProperties>
</file>